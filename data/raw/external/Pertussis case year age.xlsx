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8052" windowHeight="8655" activeTab="5"/>
  </bookViews>
  <sheets>
    <sheet name="AU" sheetId="1" r:id="rId1"/>
    <sheet name="CN" sheetId="4" r:id="rId2"/>
    <sheet name="GB" sheetId="2" r:id="rId3"/>
    <sheet name="US" sheetId="3" r:id="rId4"/>
    <sheet name="JP" sheetId="11" r:id="rId5"/>
    <sheet name="NZ" sheetId="8" r:id="rId6"/>
    <sheet name="SE" sheetId="10" r:id="rId7"/>
    <sheet name="SG" sheetId="9" r:id="rId8"/>
    <sheet name="BR" sheetId="13" r:id="rId9"/>
    <sheet name="TH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ECDC_surveillance_data_Pertussis (3)" description="与工作簿中“ECDC_surveillance_data_Pertussis (3)”查询的连接。" type="5" background="1" refreshedVersion="2" saveData="1">
    <dbPr connection="Provider=Microsoft.Mashup.OleDb.1;Data Source=$Workbook$;Location=&quot;ECDC_surveillance_data_Pertussis (3)&quot;;Extended Properties=&quot;&quot;" command="SELECT * FROM [ECDC_surveillance_data_Pertussis (3)]" commandType="2"/>
  </connection>
</connections>
</file>

<file path=xl/sharedStrings.xml><?xml version="1.0" encoding="utf-8"?>
<sst xmlns="http://schemas.openxmlformats.org/spreadsheetml/2006/main" count="171" uniqueCount="98">
  <si>
    <t>Year</t>
  </si>
  <si>
    <t>00-04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</si>
  <si>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</si>
  <si>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</si>
  <si>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</si>
  <si>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</si>
  <si>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</si>
  <si>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</si>
  <si>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</si>
  <si>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</si>
  <si>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</si>
  <si>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</si>
  <si>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</si>
  <si>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</si>
  <si>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</si>
  <si>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</si>
  <si>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</si>
  <si>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</si>
  <si>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</si>
  <si>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Unknow</t>
  </si>
  <si>
    <t>&lt;1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</si>
  <si>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</si>
  <si>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</si>
  <si>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</si>
  <si>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</si>
  <si>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</si>
  <si>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</si>
  <si>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</si>
  <si>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</si>
  <si>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</si>
  <si>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65-74</t>
  </si>
  <si>
    <t>85及以上</t>
  </si>
  <si>
    <t xml:space="preserve">&lt;1 </t>
  </si>
  <si>
    <t xml:space="preserve">1–4 </t>
  </si>
  <si>
    <t xml:space="preserve">5–9 </t>
  </si>
  <si>
    <t xml:space="preserve">10–14 </t>
  </si>
  <si>
    <t xml:space="preserve">15–24 </t>
  </si>
  <si>
    <t xml:space="preserve">25–44 </t>
  </si>
  <si>
    <t xml:space="preserve">45–64 </t>
  </si>
  <si>
    <t xml:space="preserve">65+ </t>
  </si>
  <si>
    <t>Not known</t>
  </si>
  <si>
    <t>01-04</t>
  </si>
  <si>
    <t>05-14</t>
  </si>
  <si>
    <t xml:space="preserve">15-24 </t>
  </si>
  <si>
    <t xml:space="preserve">25-39 </t>
  </si>
  <si>
    <t xml:space="preserve">40-64 </t>
  </si>
  <si>
    <t>Unknown</t>
  </si>
  <si>
    <t>&lt;6 months</t>
  </si>
  <si>
    <t>6–11 months</t>
  </si>
  <si>
    <t xml:space="preserve">1–6 </t>
  </si>
  <si>
    <t xml:space="preserve">7–10 </t>
  </si>
  <si>
    <t xml:space="preserve">11–19 </t>
  </si>
  <si>
    <t xml:space="preserve">20+ </t>
  </si>
  <si>
    <t>year</t>
  </si>
  <si>
    <t>00-01</t>
  </si>
  <si>
    <t>20-29</t>
  </si>
  <si>
    <t>30-39</t>
  </si>
  <si>
    <t>40-49</t>
  </si>
  <si>
    <t>50-59</t>
  </si>
  <si>
    <t>60-69</t>
  </si>
  <si>
    <t>70+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</si>
  <si>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</si>
  <si>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</si>
  <si>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</si>
  <si>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</si>
  <si>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</si>
  <si>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</si>
  <si>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</si>
  <si>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</si>
  <si>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</si>
  <si>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10–14 years</t>
  </si>
  <si>
    <t>15–19 years</t>
  </si>
  <si>
    <t>20+ years</t>
  </si>
  <si>
    <t>00-00</t>
  </si>
  <si>
    <t>70-79</t>
  </si>
  <si>
    <t>80+</t>
  </si>
  <si>
    <t>15-24</t>
  </si>
  <si>
    <t>25-34</t>
  </si>
  <si>
    <t>35-44</t>
  </si>
  <si>
    <t>45-54</t>
  </si>
  <si>
    <t>55-64</t>
  </si>
  <si>
    <t>65+</t>
  </si>
  <si>
    <t>1–4</t>
  </si>
  <si>
    <t xml:space="preserve">15–19 </t>
  </si>
  <si>
    <t xml:space="preserve">20–39 </t>
  </si>
  <si>
    <t xml:space="preserve">40–59 </t>
  </si>
  <si>
    <t xml:space="preserve">60–64 </t>
  </si>
  <si>
    <t xml:space="preserve">65–69 </t>
  </si>
  <si>
    <t xml:space="preserve">70–79 </t>
  </si>
  <si>
    <t xml:space="preserve">80+ </t>
  </si>
  <si>
    <t>&lt; 28 days</t>
  </si>
  <si>
    <t>1–11 months</t>
  </si>
  <si>
    <t xml:space="preserve">7–9 </t>
  </si>
  <si>
    <t xml:space="preserve">25–34 </t>
  </si>
  <si>
    <t xml:space="preserve">35–44 </t>
  </si>
  <si>
    <t xml:space="preserve">45–54 </t>
  </si>
  <si>
    <t>55–64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</si>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</sst>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1"/>
      <name val="等线"/>
      <charset val="134"/>
    </font>
    <font>
      <b/>
      <sz val="11"/>
      <name val="等线"/>
      <charset val="134"/>
    </font>
    <font>
      <sz val="9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/>
  </cellStyleXfs>
  <cellXfs count="28">
    <xf numFmtId="0" fontId="0" fillId="0" borderId="0" xfId="0">
      <alignment vertical="center"/>
    </xf>
    <xf numFmtId="49" fontId="0" fillId="0" borderId="0" xfId="0" applyNumberFormat="1" applyAlignment="1">
      <alignment horizontal="center"/>
    </xf>
    <xf numFmtId="0" fontId="0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" fontId="0" fillId="0" borderId="0" xfId="49" applyNumberFormat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Fill="1" applyAlignment="1"/>
    <xf numFmtId="49" fontId="0" fillId="0" borderId="0" xfId="0" applyNumberFormat="1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49" fontId="0" fillId="0" borderId="0" xfId="0" applyNumberFormat="1" applyAlignment="1"/>
    <xf numFmtId="176" fontId="0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23" applyFont="1" applyFill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3" fontId="0" fillId="0" borderId="0" xfId="49" applyNumberForma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customXml" Target="../customXml/item1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workbookViewId="0">
      <selection activeCell="F23" sqref="F23"/>
    </sheetView>
  </sheetViews>
  <sheetFormatPr defaultColWidth="9" defaultRowHeight="13.85"/>
  <cols>
    <col min="1" max="1" width="10.1681415929204" customWidth="1"/>
  </cols>
  <sheetData>
    <row r="1" spans="1:20">
      <c r="A1" s="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2" t="s">
        <v>19</v>
      </c>
    </row>
    <row r="2" spans="1:20">
      <c r="A2" s="3">
        <v>2025</v>
      </c>
      <c r="B2" s="3">
        <v>3468</v>
      </c>
      <c r="C2" s="3">
        <v>5037</v>
      </c>
      <c r="D2" s="3">
        <v>5078</v>
      </c>
      <c r="E2" s="3">
        <v>2247</v>
      </c>
      <c r="F2" s="3">
        <v>1272</v>
      </c>
      <c r="G2" s="3">
        <v>770</v>
      </c>
      <c r="H2" s="3">
        <v>731</v>
      </c>
      <c r="I2" s="3">
        <v>791</v>
      </c>
      <c r="J2" s="3">
        <v>887</v>
      </c>
      <c r="K2" s="3">
        <v>916</v>
      </c>
      <c r="L2" s="3">
        <v>810</v>
      </c>
      <c r="M2" s="3">
        <v>665</v>
      </c>
      <c r="N2" s="3">
        <v>571</v>
      </c>
      <c r="O2" s="3">
        <v>541</v>
      </c>
      <c r="P2" s="3">
        <v>471</v>
      </c>
      <c r="Q2" s="3">
        <v>422</v>
      </c>
      <c r="R2" s="3">
        <v>282</v>
      </c>
      <c r="S2" s="3">
        <v>318</v>
      </c>
      <c r="T2" s="3">
        <v>8</v>
      </c>
    </row>
    <row r="3" spans="1:20">
      <c r="A3" s="2">
        <v>2024</v>
      </c>
      <c r="B3" s="27">
        <v>4729</v>
      </c>
      <c r="C3" s="27">
        <v>12639</v>
      </c>
      <c r="D3" s="27">
        <v>20279</v>
      </c>
      <c r="E3" s="27">
        <v>5006</v>
      </c>
      <c r="F3" s="27">
        <v>2038</v>
      </c>
      <c r="G3" s="27">
        <v>1084</v>
      </c>
      <c r="H3" s="27">
        <v>1023</v>
      </c>
      <c r="I3" s="27">
        <v>1313</v>
      </c>
      <c r="J3" s="27">
        <v>1658</v>
      </c>
      <c r="K3" s="27">
        <v>1789</v>
      </c>
      <c r="L3" s="27">
        <v>1460</v>
      </c>
      <c r="M3" s="5">
        <v>972</v>
      </c>
      <c r="N3" s="5">
        <v>859</v>
      </c>
      <c r="O3" s="5">
        <v>756</v>
      </c>
      <c r="P3" s="5">
        <v>629</v>
      </c>
      <c r="Q3" s="5">
        <v>508</v>
      </c>
      <c r="R3" s="5">
        <v>256</v>
      </c>
      <c r="S3" s="5">
        <v>234</v>
      </c>
      <c r="T3" s="5">
        <v>0</v>
      </c>
    </row>
    <row r="4" spans="1:20">
      <c r="A4" s="26">
        <v>2023</v>
      </c>
      <c r="B4" s="5">
        <v>243</v>
      </c>
      <c r="C4" s="5">
        <v>365</v>
      </c>
      <c r="D4" s="5">
        <v>736</v>
      </c>
      <c r="E4" s="5">
        <v>241</v>
      </c>
      <c r="F4" s="5">
        <v>98</v>
      </c>
      <c r="G4" s="5">
        <v>58</v>
      </c>
      <c r="H4" s="5">
        <v>68</v>
      </c>
      <c r="I4" s="5">
        <v>75</v>
      </c>
      <c r="J4" s="5">
        <v>85</v>
      </c>
      <c r="K4" s="5">
        <v>91</v>
      </c>
      <c r="L4" s="5">
        <v>109</v>
      </c>
      <c r="M4" s="5">
        <v>58</v>
      </c>
      <c r="N4" s="5">
        <v>57</v>
      </c>
      <c r="O4" s="5">
        <v>50</v>
      </c>
      <c r="P4" s="5">
        <v>39</v>
      </c>
      <c r="Q4" s="5">
        <v>50</v>
      </c>
      <c r="R4" s="5">
        <v>17</v>
      </c>
      <c r="S4" s="5">
        <v>14</v>
      </c>
      <c r="T4" s="5">
        <v>0</v>
      </c>
    </row>
    <row r="5" spans="1:20">
      <c r="A5" s="26">
        <v>2022</v>
      </c>
      <c r="B5" s="5">
        <v>45</v>
      </c>
      <c r="C5" s="5">
        <v>21</v>
      </c>
      <c r="D5" s="5">
        <v>30</v>
      </c>
      <c r="E5" s="5">
        <v>19</v>
      </c>
      <c r="F5" s="5">
        <v>29</v>
      </c>
      <c r="G5" s="5">
        <v>27</v>
      </c>
      <c r="H5" s="5">
        <v>23</v>
      </c>
      <c r="I5" s="5">
        <v>34</v>
      </c>
      <c r="J5" s="5">
        <v>36</v>
      </c>
      <c r="K5" s="5">
        <v>32</v>
      </c>
      <c r="L5" s="5">
        <v>31</v>
      </c>
      <c r="M5" s="5">
        <v>26</v>
      </c>
      <c r="N5" s="5">
        <v>25</v>
      </c>
      <c r="O5" s="5">
        <v>28</v>
      </c>
      <c r="P5" s="5">
        <v>32</v>
      </c>
      <c r="Q5" s="5">
        <v>17</v>
      </c>
      <c r="R5" s="5">
        <v>16</v>
      </c>
      <c r="S5" s="5">
        <v>13</v>
      </c>
      <c r="T5" s="5">
        <v>0</v>
      </c>
    </row>
    <row r="6" spans="1:20">
      <c r="A6" s="26">
        <v>2021</v>
      </c>
      <c r="B6" s="5">
        <v>45</v>
      </c>
      <c r="C6" s="5">
        <v>22</v>
      </c>
      <c r="D6" s="5">
        <v>34</v>
      </c>
      <c r="E6" s="5">
        <v>20</v>
      </c>
      <c r="F6" s="5">
        <v>34</v>
      </c>
      <c r="G6" s="5">
        <v>36</v>
      </c>
      <c r="H6" s="5">
        <v>50</v>
      </c>
      <c r="I6" s="5">
        <v>46</v>
      </c>
      <c r="J6" s="5">
        <v>40</v>
      </c>
      <c r="K6" s="5">
        <v>23</v>
      </c>
      <c r="L6" s="5">
        <v>44</v>
      </c>
      <c r="M6" s="5">
        <v>33</v>
      </c>
      <c r="N6" s="5">
        <v>30</v>
      </c>
      <c r="O6" s="5">
        <v>36</v>
      </c>
      <c r="P6" s="5">
        <v>23</v>
      </c>
      <c r="Q6" s="5">
        <v>20</v>
      </c>
      <c r="R6" s="5">
        <v>8</v>
      </c>
      <c r="S6" s="5">
        <v>6</v>
      </c>
      <c r="T6" s="5">
        <v>0</v>
      </c>
    </row>
    <row r="7" spans="1:20">
      <c r="A7" s="26">
        <v>2020</v>
      </c>
      <c r="B7" s="5">
        <v>378</v>
      </c>
      <c r="C7" s="5">
        <v>512</v>
      </c>
      <c r="D7" s="5">
        <v>485</v>
      </c>
      <c r="E7" s="5">
        <v>236</v>
      </c>
      <c r="F7" s="5">
        <v>178</v>
      </c>
      <c r="G7" s="5">
        <v>147</v>
      </c>
      <c r="H7" s="5">
        <v>176</v>
      </c>
      <c r="I7" s="5">
        <v>169</v>
      </c>
      <c r="J7" s="5">
        <v>189</v>
      </c>
      <c r="K7" s="5">
        <v>237</v>
      </c>
      <c r="L7" s="5">
        <v>172</v>
      </c>
      <c r="M7" s="5">
        <v>146</v>
      </c>
      <c r="N7" s="5">
        <v>118</v>
      </c>
      <c r="O7" s="5">
        <v>94</v>
      </c>
      <c r="P7" s="5">
        <v>77</v>
      </c>
      <c r="Q7" s="5">
        <v>72</v>
      </c>
      <c r="R7" s="5">
        <v>37</v>
      </c>
      <c r="S7" s="5">
        <v>36</v>
      </c>
      <c r="T7" s="5">
        <v>0</v>
      </c>
    </row>
    <row r="8" spans="1:20">
      <c r="A8" s="26">
        <v>2019</v>
      </c>
      <c r="B8" s="27">
        <v>1342</v>
      </c>
      <c r="C8" s="27">
        <v>2625</v>
      </c>
      <c r="D8" s="27">
        <v>2349</v>
      </c>
      <c r="E8" s="5">
        <v>778</v>
      </c>
      <c r="F8" s="5">
        <v>424</v>
      </c>
      <c r="G8" s="5">
        <v>380</v>
      </c>
      <c r="H8" s="5">
        <v>465</v>
      </c>
      <c r="I8" s="5">
        <v>482</v>
      </c>
      <c r="J8" s="5">
        <v>528</v>
      </c>
      <c r="K8" s="5">
        <v>569</v>
      </c>
      <c r="L8" s="5">
        <v>482</v>
      </c>
      <c r="M8" s="5">
        <v>386</v>
      </c>
      <c r="N8" s="5">
        <v>331</v>
      </c>
      <c r="O8" s="5">
        <v>284</v>
      </c>
      <c r="P8" s="5">
        <v>248</v>
      </c>
      <c r="Q8" s="5">
        <v>190</v>
      </c>
      <c r="R8" s="5">
        <v>96</v>
      </c>
      <c r="S8" s="5">
        <v>65</v>
      </c>
      <c r="T8" s="5">
        <v>1</v>
      </c>
    </row>
    <row r="9" spans="1:20">
      <c r="A9" s="26">
        <v>2018</v>
      </c>
      <c r="B9" s="27">
        <v>1514</v>
      </c>
      <c r="C9" s="27">
        <v>3080</v>
      </c>
      <c r="D9" s="27">
        <v>2193</v>
      </c>
      <c r="E9" s="5">
        <v>663</v>
      </c>
      <c r="F9" s="5">
        <v>386</v>
      </c>
      <c r="G9" s="5">
        <v>409</v>
      </c>
      <c r="H9" s="5">
        <v>426</v>
      </c>
      <c r="I9" s="5">
        <v>518</v>
      </c>
      <c r="J9" s="5">
        <v>592</v>
      </c>
      <c r="K9" s="5">
        <v>581</v>
      </c>
      <c r="L9" s="5">
        <v>492</v>
      </c>
      <c r="M9" s="5">
        <v>431</v>
      </c>
      <c r="N9" s="5">
        <v>378</v>
      </c>
      <c r="O9" s="5">
        <v>317</v>
      </c>
      <c r="P9" s="5">
        <v>273</v>
      </c>
      <c r="Q9" s="5">
        <v>166</v>
      </c>
      <c r="R9" s="5">
        <v>85</v>
      </c>
      <c r="S9" s="5">
        <v>77</v>
      </c>
      <c r="T9" s="5">
        <v>0</v>
      </c>
    </row>
    <row r="10" spans="1:20">
      <c r="A10" s="26">
        <v>2017</v>
      </c>
      <c r="B10" s="27">
        <v>1747</v>
      </c>
      <c r="C10" s="27">
        <v>2275</v>
      </c>
      <c r="D10" s="27">
        <v>1740</v>
      </c>
      <c r="E10" s="5">
        <v>738</v>
      </c>
      <c r="F10" s="5">
        <v>377</v>
      </c>
      <c r="G10" s="5">
        <v>457</v>
      </c>
      <c r="H10" s="5">
        <v>528</v>
      </c>
      <c r="I10" s="5">
        <v>541</v>
      </c>
      <c r="J10" s="5">
        <v>636</v>
      </c>
      <c r="K10" s="5">
        <v>623</v>
      </c>
      <c r="L10" s="5">
        <v>500</v>
      </c>
      <c r="M10" s="5">
        <v>472</v>
      </c>
      <c r="N10" s="5">
        <v>408</v>
      </c>
      <c r="O10" s="5">
        <v>386</v>
      </c>
      <c r="P10" s="5">
        <v>340</v>
      </c>
      <c r="Q10" s="5">
        <v>229</v>
      </c>
      <c r="R10" s="5">
        <v>120</v>
      </c>
      <c r="S10" s="5">
        <v>117</v>
      </c>
      <c r="T10" s="5">
        <v>1</v>
      </c>
    </row>
    <row r="11" spans="1:20">
      <c r="A11" s="26">
        <v>2016</v>
      </c>
      <c r="B11" s="27">
        <v>2908</v>
      </c>
      <c r="C11" s="27">
        <v>4052</v>
      </c>
      <c r="D11" s="27">
        <v>3535</v>
      </c>
      <c r="E11" s="27">
        <v>1078</v>
      </c>
      <c r="F11" s="5">
        <v>686</v>
      </c>
      <c r="G11" s="5">
        <v>701</v>
      </c>
      <c r="H11" s="5">
        <v>787</v>
      </c>
      <c r="I11" s="5">
        <v>878</v>
      </c>
      <c r="J11" s="27">
        <v>1043</v>
      </c>
      <c r="K11" s="5">
        <v>887</v>
      </c>
      <c r="L11" s="5">
        <v>723</v>
      </c>
      <c r="M11" s="5">
        <v>664</v>
      </c>
      <c r="N11" s="5">
        <v>583</v>
      </c>
      <c r="O11" s="5">
        <v>612</v>
      </c>
      <c r="P11" s="5">
        <v>436</v>
      </c>
      <c r="Q11" s="5">
        <v>277</v>
      </c>
      <c r="R11" s="5">
        <v>127</v>
      </c>
      <c r="S11" s="5">
        <v>138</v>
      </c>
      <c r="T11" s="5">
        <v>2</v>
      </c>
    </row>
    <row r="12" spans="1:20">
      <c r="A12" s="26">
        <v>2015</v>
      </c>
      <c r="B12" s="27">
        <v>2894</v>
      </c>
      <c r="C12" s="27">
        <v>4464</v>
      </c>
      <c r="D12" s="27">
        <v>4293</v>
      </c>
      <c r="E12" s="27">
        <v>1108</v>
      </c>
      <c r="F12" s="5">
        <v>633</v>
      </c>
      <c r="G12" s="5">
        <v>656</v>
      </c>
      <c r="H12" s="5">
        <v>769</v>
      </c>
      <c r="I12" s="5">
        <v>920</v>
      </c>
      <c r="J12" s="27">
        <v>1222</v>
      </c>
      <c r="K12" s="27">
        <v>1140</v>
      </c>
      <c r="L12" s="5">
        <v>894</v>
      </c>
      <c r="M12" s="5">
        <v>782</v>
      </c>
      <c r="N12" s="5">
        <v>781</v>
      </c>
      <c r="O12" s="5">
        <v>749</v>
      </c>
      <c r="P12" s="5">
        <v>528</v>
      </c>
      <c r="Q12" s="5">
        <v>367</v>
      </c>
      <c r="R12" s="5">
        <v>203</v>
      </c>
      <c r="S12" s="5">
        <v>168</v>
      </c>
      <c r="T12" s="5">
        <v>0</v>
      </c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workbookViewId="0">
      <selection activeCell="A5" sqref="A5:I6"/>
    </sheetView>
  </sheetViews>
  <sheetFormatPr defaultColWidth="9" defaultRowHeight="13.85"/>
  <cols>
    <col min="1" max="1" width="13.3362831858407" customWidth="1"/>
    <col min="2" max="2" width="11.5840707964602" customWidth="1"/>
    <col min="12" max="12" width="10.2920353982301" customWidth="1"/>
  </cols>
  <sheetData>
    <row r="1" s="23" customFormat="1" spans="1:26">
      <c r="A1" s="2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</v>
      </c>
      <c r="M1" s="24" t="s">
        <v>4</v>
      </c>
      <c r="N1" s="24" t="s">
        <v>5</v>
      </c>
      <c r="O1" s="24" t="s">
        <v>6</v>
      </c>
      <c r="P1" s="24" t="s">
        <v>7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</v>
      </c>
      <c r="W1" s="24" t="s">
        <v>30</v>
      </c>
      <c r="X1" s="24" t="s">
        <v>16</v>
      </c>
      <c r="Y1" s="24" t="s">
        <v>17</v>
      </c>
      <c r="Z1" s="24" t="s">
        <v>31</v>
      </c>
    </row>
    <row r="2" spans="1:26">
      <c r="A2" s="12">
        <v>2023</v>
      </c>
      <c r="B2" s="25">
        <f>ROUND(104.4*150.23,0)</f>
        <v>15684</v>
      </c>
      <c r="C2" s="25">
        <f>ROUND(16*153.36,0)</f>
        <v>2454</v>
      </c>
      <c r="D2" s="25">
        <f>ROUND(8*167.93,0)</f>
        <v>1343</v>
      </c>
      <c r="E2" s="25">
        <f>ROUND(11.4*167.64,0)</f>
        <v>1911</v>
      </c>
      <c r="F2" s="25">
        <f>ROUND(15.7*167.43,0)</f>
        <v>2629</v>
      </c>
      <c r="G2" s="25">
        <f>ROUND(20*150.83,0)</f>
        <v>3017</v>
      </c>
      <c r="H2" s="25">
        <f>ROUND(32.4*162.76,0)</f>
        <v>5273</v>
      </c>
      <c r="I2" s="25">
        <f>ROUND(15*158.24,0)</f>
        <v>2374</v>
      </c>
      <c r="J2" s="25">
        <f>ROUND(17.4*154.55,0)</f>
        <v>2689</v>
      </c>
      <c r="K2" s="25">
        <f>ROUND(13.7*153.93,0)</f>
        <v>2109</v>
      </c>
      <c r="L2" s="20">
        <f>ROUND(27*769.21/7,0)</f>
        <v>2967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2">
        <v>2022</v>
      </c>
      <c r="B3" s="25">
        <v>11936</v>
      </c>
      <c r="C3" s="4"/>
      <c r="D3" s="4"/>
      <c r="E3" s="4"/>
      <c r="F3" s="4"/>
      <c r="G3" s="4"/>
      <c r="H3" s="4"/>
      <c r="I3" s="4"/>
      <c r="J3" s="4"/>
      <c r="K3" s="4"/>
      <c r="L3" s="12">
        <v>2057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2">
        <v>2021</v>
      </c>
      <c r="B4" s="20">
        <f>34675-SUM(B5:B7)</f>
        <v>3245</v>
      </c>
      <c r="C4" s="20">
        <f>9239-SUM(C5:C7)</f>
        <v>543</v>
      </c>
      <c r="D4" s="20">
        <f>3935-SUM(D5:D7)</f>
        <v>437</v>
      </c>
      <c r="E4" s="20">
        <f>4112-SUM(E5:E7)</f>
        <v>798</v>
      </c>
      <c r="F4" s="20">
        <f>3948-SUM(F5:F7)</f>
        <v>1009</v>
      </c>
      <c r="G4" s="4"/>
      <c r="H4" s="4"/>
      <c r="I4" s="4"/>
      <c r="J4" s="4"/>
      <c r="K4" s="4"/>
      <c r="L4" s="12">
        <f>830-SUM(L5:L7)</f>
        <v>324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6">
        <v>2020</v>
      </c>
      <c r="B5" s="3">
        <v>2315</v>
      </c>
      <c r="C5" s="3">
        <v>471</v>
      </c>
      <c r="D5" s="3">
        <v>291</v>
      </c>
      <c r="E5" s="3">
        <v>453</v>
      </c>
      <c r="F5" s="3">
        <v>258</v>
      </c>
      <c r="G5" s="3">
        <v>203</v>
      </c>
      <c r="H5" s="3">
        <v>141</v>
      </c>
      <c r="I5" s="3">
        <v>94</v>
      </c>
      <c r="J5" s="3">
        <v>70</v>
      </c>
      <c r="K5" s="3">
        <v>40</v>
      </c>
      <c r="L5" s="3">
        <v>67</v>
      </c>
      <c r="M5" s="3">
        <v>3</v>
      </c>
      <c r="N5" s="3">
        <v>3</v>
      </c>
      <c r="O5" s="3">
        <v>9</v>
      </c>
      <c r="P5" s="3">
        <v>15</v>
      </c>
      <c r="Q5" s="3">
        <v>10</v>
      </c>
      <c r="R5" s="3">
        <v>5</v>
      </c>
      <c r="S5" s="3">
        <v>9</v>
      </c>
      <c r="T5" s="3">
        <v>4</v>
      </c>
      <c r="U5" s="3">
        <v>4</v>
      </c>
      <c r="V5" s="3">
        <v>1</v>
      </c>
      <c r="W5" s="3">
        <v>2</v>
      </c>
      <c r="X5" s="3">
        <v>2</v>
      </c>
      <c r="Y5" s="3">
        <v>2</v>
      </c>
      <c r="Z5" s="3">
        <v>3</v>
      </c>
    </row>
    <row r="6" spans="1:26">
      <c r="A6" s="26">
        <v>2019</v>
      </c>
      <c r="B6" s="3">
        <v>16743</v>
      </c>
      <c r="C6" s="3">
        <v>4248</v>
      </c>
      <c r="D6" s="3">
        <v>2122</v>
      </c>
      <c r="E6" s="3">
        <v>1682</v>
      </c>
      <c r="F6" s="3">
        <v>1615</v>
      </c>
      <c r="G6" s="3">
        <v>1137</v>
      </c>
      <c r="H6" s="3">
        <v>809</v>
      </c>
      <c r="I6" s="3">
        <v>499</v>
      </c>
      <c r="J6" s="3">
        <v>342</v>
      </c>
      <c r="K6" s="3">
        <v>201</v>
      </c>
      <c r="L6" s="3">
        <v>269</v>
      </c>
      <c r="M6" s="3">
        <v>7</v>
      </c>
      <c r="N6" s="3">
        <v>24</v>
      </c>
      <c r="O6" s="3">
        <v>69</v>
      </c>
      <c r="P6" s="3">
        <v>91</v>
      </c>
      <c r="Q6" s="3">
        <v>56</v>
      </c>
      <c r="R6" s="3">
        <v>19</v>
      </c>
      <c r="S6" s="3">
        <v>13</v>
      </c>
      <c r="T6" s="3">
        <v>37</v>
      </c>
      <c r="U6" s="3">
        <v>18</v>
      </c>
      <c r="V6" s="3">
        <v>12</v>
      </c>
      <c r="W6" s="3">
        <v>11</v>
      </c>
      <c r="X6" s="3">
        <v>0</v>
      </c>
      <c r="Y6" s="3">
        <v>1</v>
      </c>
      <c r="Z6" s="3">
        <v>2</v>
      </c>
    </row>
    <row r="7" spans="1:26">
      <c r="A7" s="26">
        <v>2018</v>
      </c>
      <c r="B7" s="3">
        <v>12372</v>
      </c>
      <c r="C7" s="3">
        <v>3977</v>
      </c>
      <c r="D7" s="3">
        <v>1085</v>
      </c>
      <c r="E7" s="3">
        <v>1179</v>
      </c>
      <c r="F7" s="3">
        <v>1066</v>
      </c>
      <c r="G7" s="3">
        <v>802</v>
      </c>
      <c r="H7" s="3">
        <v>499</v>
      </c>
      <c r="I7" s="3">
        <v>341</v>
      </c>
      <c r="J7" s="3">
        <v>217</v>
      </c>
      <c r="K7" s="3">
        <v>119</v>
      </c>
      <c r="L7" s="3">
        <v>170</v>
      </c>
      <c r="M7" s="3">
        <v>7</v>
      </c>
      <c r="N7" s="3">
        <v>12</v>
      </c>
      <c r="O7" s="3">
        <v>41</v>
      </c>
      <c r="P7" s="3">
        <v>43</v>
      </c>
      <c r="Q7" s="3">
        <v>47</v>
      </c>
      <c r="R7" s="3">
        <v>11</v>
      </c>
      <c r="S7" s="3">
        <v>16</v>
      </c>
      <c r="T7" s="3">
        <v>11</v>
      </c>
      <c r="U7" s="3">
        <v>15</v>
      </c>
      <c r="V7" s="3">
        <v>10</v>
      </c>
      <c r="W7" s="3">
        <v>10</v>
      </c>
      <c r="X7" s="3">
        <v>5</v>
      </c>
      <c r="Y7" s="3">
        <v>1</v>
      </c>
      <c r="Z7" s="3">
        <v>1</v>
      </c>
    </row>
    <row r="8" spans="1:26">
      <c r="A8" s="26">
        <v>2017</v>
      </c>
      <c r="B8" s="3">
        <v>6973</v>
      </c>
      <c r="C8" s="3">
        <v>1187</v>
      </c>
      <c r="D8" s="3">
        <v>456</v>
      </c>
      <c r="E8" s="3">
        <v>477</v>
      </c>
      <c r="F8" s="3">
        <v>353</v>
      </c>
      <c r="G8" s="3">
        <v>227</v>
      </c>
      <c r="H8" s="3">
        <v>166</v>
      </c>
      <c r="I8" s="3">
        <v>128</v>
      </c>
      <c r="J8" s="3">
        <v>75</v>
      </c>
      <c r="K8" s="3">
        <v>55</v>
      </c>
      <c r="L8" s="3">
        <v>81</v>
      </c>
      <c r="M8" s="3">
        <v>6</v>
      </c>
      <c r="N8" s="3"/>
      <c r="O8" s="3">
        <v>5</v>
      </c>
      <c r="P8" s="3">
        <v>30</v>
      </c>
      <c r="Q8" s="3">
        <v>37</v>
      </c>
      <c r="R8" s="3">
        <v>37</v>
      </c>
      <c r="S8" s="3">
        <v>10</v>
      </c>
      <c r="T8" s="3">
        <v>13</v>
      </c>
      <c r="U8" s="3">
        <v>26</v>
      </c>
      <c r="V8" s="3">
        <v>13</v>
      </c>
      <c r="W8" s="3">
        <v>16</v>
      </c>
      <c r="X8" s="3">
        <v>8</v>
      </c>
      <c r="Y8" s="3">
        <v>1</v>
      </c>
      <c r="Z8" s="3">
        <v>3</v>
      </c>
    </row>
    <row r="9" spans="1:26">
      <c r="A9" s="26">
        <v>2016</v>
      </c>
      <c r="B9" s="3">
        <v>3508</v>
      </c>
      <c r="C9" s="3">
        <v>767</v>
      </c>
      <c r="D9" s="3">
        <v>316</v>
      </c>
      <c r="E9" s="3">
        <v>256</v>
      </c>
      <c r="F9" s="3">
        <v>217</v>
      </c>
      <c r="G9" s="3">
        <v>127</v>
      </c>
      <c r="H9" s="3">
        <v>95</v>
      </c>
      <c r="I9" s="3">
        <v>72</v>
      </c>
      <c r="J9" s="3">
        <v>34</v>
      </c>
      <c r="K9" s="3">
        <v>39</v>
      </c>
      <c r="L9" s="3">
        <v>43</v>
      </c>
      <c r="M9" s="3">
        <v>5</v>
      </c>
      <c r="N9" s="3">
        <v>6</v>
      </c>
      <c r="O9" s="3">
        <v>23</v>
      </c>
      <c r="P9" s="3">
        <v>21</v>
      </c>
      <c r="Q9" s="3">
        <v>10</v>
      </c>
      <c r="R9" s="3">
        <v>6</v>
      </c>
      <c r="S9" s="3">
        <v>5</v>
      </c>
      <c r="T9" s="3">
        <v>12</v>
      </c>
      <c r="U9" s="3">
        <v>7</v>
      </c>
      <c r="V9" s="3">
        <v>6</v>
      </c>
      <c r="W9" s="3">
        <v>4</v>
      </c>
      <c r="X9" s="3">
        <v>2</v>
      </c>
      <c r="Y9" s="3">
        <v>2</v>
      </c>
      <c r="Z9" s="3">
        <v>1</v>
      </c>
    </row>
    <row r="10" spans="1:26">
      <c r="A10" s="26">
        <v>2015</v>
      </c>
      <c r="B10" s="3">
        <v>4322</v>
      </c>
      <c r="C10" s="3">
        <v>986</v>
      </c>
      <c r="D10" s="3">
        <v>361</v>
      </c>
      <c r="E10" s="3">
        <v>253</v>
      </c>
      <c r="F10" s="3">
        <v>197</v>
      </c>
      <c r="G10" s="3">
        <v>165</v>
      </c>
      <c r="H10" s="3">
        <v>88</v>
      </c>
      <c r="I10" s="3">
        <v>57</v>
      </c>
      <c r="J10" s="3">
        <v>44</v>
      </c>
      <c r="K10" s="3">
        <v>40</v>
      </c>
      <c r="L10" s="3">
        <v>64</v>
      </c>
      <c r="M10" s="3">
        <v>3</v>
      </c>
      <c r="N10" s="3">
        <v>5</v>
      </c>
      <c r="O10" s="3">
        <v>17</v>
      </c>
      <c r="P10" s="3">
        <v>14</v>
      </c>
      <c r="Q10" s="3">
        <v>8</v>
      </c>
      <c r="R10" s="3">
        <v>3</v>
      </c>
      <c r="S10" s="3">
        <v>7</v>
      </c>
      <c r="T10" s="3">
        <v>7</v>
      </c>
      <c r="U10" s="3">
        <v>8</v>
      </c>
      <c r="V10" s="3">
        <v>6</v>
      </c>
      <c r="W10" s="3">
        <v>2</v>
      </c>
      <c r="X10" s="3">
        <v>1</v>
      </c>
      <c r="Y10" s="3">
        <v>0</v>
      </c>
      <c r="Z10" s="3">
        <v>0</v>
      </c>
    </row>
    <row r="25" ht="13" customHeight="1"/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A2" sqref="A2:A11"/>
    </sheetView>
  </sheetViews>
  <sheetFormatPr defaultColWidth="9" defaultRowHeight="13.85"/>
  <cols>
    <col min="2" max="2" width="10.6283185840708" customWidth="1"/>
    <col min="3" max="3" width="11.8495575221239" customWidth="1"/>
    <col min="4" max="4" width="13.8407079646018" customWidth="1"/>
    <col min="5" max="5" width="12.1592920353982" customWidth="1"/>
    <col min="6" max="6" width="10.6725663716814" customWidth="1"/>
    <col min="7" max="7" width="11.9026548672566" customWidth="1"/>
  </cols>
  <sheetData>
    <row r="1" spans="1:10">
      <c r="A1" s="3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</row>
    <row r="2" spans="1:10">
      <c r="A2" s="3">
        <v>2015</v>
      </c>
      <c r="B2" s="3">
        <v>203</v>
      </c>
      <c r="C2" s="3">
        <v>324</v>
      </c>
      <c r="D2" s="3">
        <v>235</v>
      </c>
      <c r="E2" s="3">
        <v>258</v>
      </c>
      <c r="F2" s="3">
        <v>233</v>
      </c>
      <c r="G2" s="3">
        <v>670</v>
      </c>
      <c r="H2" s="3">
        <v>608</v>
      </c>
      <c r="I2" s="3">
        <v>144</v>
      </c>
      <c r="J2" s="3">
        <v>5</v>
      </c>
    </row>
    <row r="3" spans="1:10">
      <c r="A3" s="3">
        <v>2016</v>
      </c>
      <c r="B3" s="3">
        <v>262</v>
      </c>
      <c r="C3" s="3">
        <v>416</v>
      </c>
      <c r="D3" s="3">
        <v>306</v>
      </c>
      <c r="E3" s="3">
        <v>345</v>
      </c>
      <c r="F3" s="3">
        <v>363</v>
      </c>
      <c r="G3" s="3">
        <v>1062</v>
      </c>
      <c r="H3" s="3">
        <v>1095</v>
      </c>
      <c r="I3" s="3">
        <v>276</v>
      </c>
      <c r="J3" s="3">
        <v>9</v>
      </c>
    </row>
    <row r="4" spans="1:10">
      <c r="A4" s="3">
        <v>2017</v>
      </c>
      <c r="B4" s="3">
        <v>199</v>
      </c>
      <c r="C4" s="3">
        <v>298</v>
      </c>
      <c r="D4" s="3">
        <v>213</v>
      </c>
      <c r="E4" s="3">
        <v>273</v>
      </c>
      <c r="F4" s="3">
        <v>297</v>
      </c>
      <c r="G4" s="3">
        <v>742</v>
      </c>
      <c r="H4" s="3">
        <v>793</v>
      </c>
      <c r="I4" s="3">
        <v>210</v>
      </c>
      <c r="J4" s="3">
        <v>6</v>
      </c>
    </row>
    <row r="5" spans="1:10">
      <c r="A5" s="3">
        <v>2018</v>
      </c>
      <c r="B5" s="3">
        <v>133</v>
      </c>
      <c r="C5" s="3">
        <v>287</v>
      </c>
      <c r="D5" s="3">
        <v>169</v>
      </c>
      <c r="E5" s="3">
        <v>204</v>
      </c>
      <c r="F5" s="3">
        <v>177</v>
      </c>
      <c r="G5" s="3">
        <v>601</v>
      </c>
      <c r="H5" s="3">
        <v>628</v>
      </c>
      <c r="I5" s="3">
        <v>198</v>
      </c>
      <c r="J5" s="3">
        <v>5</v>
      </c>
    </row>
    <row r="6" spans="1:10">
      <c r="A6" s="3">
        <v>2019</v>
      </c>
      <c r="B6" s="3">
        <v>164</v>
      </c>
      <c r="C6" s="3">
        <v>456</v>
      </c>
      <c r="D6" s="3">
        <v>313</v>
      </c>
      <c r="E6" s="3">
        <v>370</v>
      </c>
      <c r="F6" s="3">
        <v>322</v>
      </c>
      <c r="G6" s="3">
        <v>877</v>
      </c>
      <c r="H6" s="3">
        <v>925</v>
      </c>
      <c r="I6" s="3">
        <v>264</v>
      </c>
      <c r="J6" s="3">
        <v>1</v>
      </c>
    </row>
    <row r="7" spans="1:10">
      <c r="A7" s="3">
        <v>2020</v>
      </c>
      <c r="B7" s="3">
        <v>69</v>
      </c>
      <c r="C7" s="3">
        <v>167</v>
      </c>
      <c r="D7" s="3">
        <v>102</v>
      </c>
      <c r="E7" s="3">
        <v>148</v>
      </c>
      <c r="F7" s="3">
        <v>85</v>
      </c>
      <c r="G7" s="3">
        <v>302</v>
      </c>
      <c r="H7" s="3">
        <v>312</v>
      </c>
      <c r="I7" s="3">
        <v>97</v>
      </c>
      <c r="J7" s="3">
        <v>2</v>
      </c>
    </row>
    <row r="8" spans="1:10">
      <c r="A8" s="3">
        <v>2021</v>
      </c>
      <c r="B8" s="3">
        <v>52</v>
      </c>
      <c r="C8" s="3">
        <v>192</v>
      </c>
      <c r="D8" s="3">
        <v>54</v>
      </c>
      <c r="E8" s="3">
        <v>19</v>
      </c>
      <c r="F8" s="3">
        <v>27</v>
      </c>
      <c r="G8" s="3">
        <v>83</v>
      </c>
      <c r="H8" s="3">
        <v>31</v>
      </c>
      <c r="I8" s="3">
        <v>10</v>
      </c>
      <c r="J8" s="3">
        <v>0</v>
      </c>
    </row>
    <row r="9" spans="1:10">
      <c r="A9" s="20">
        <v>2022</v>
      </c>
      <c r="B9" s="20">
        <v>42</v>
      </c>
      <c r="C9" s="20">
        <v>165</v>
      </c>
      <c r="D9" s="20">
        <v>53</v>
      </c>
      <c r="E9" s="20">
        <v>29</v>
      </c>
      <c r="F9" s="4">
        <v>35</v>
      </c>
      <c r="G9" s="4">
        <v>94</v>
      </c>
      <c r="H9" s="20">
        <v>64</v>
      </c>
      <c r="I9" s="20">
        <v>21</v>
      </c>
      <c r="J9" s="21">
        <v>1</v>
      </c>
    </row>
    <row r="10" spans="1:10">
      <c r="A10" s="3">
        <v>2023</v>
      </c>
      <c r="B10" s="3">
        <v>168</v>
      </c>
      <c r="C10" s="3">
        <v>259</v>
      </c>
      <c r="D10" s="3">
        <v>224</v>
      </c>
      <c r="E10" s="3">
        <v>216</v>
      </c>
      <c r="F10" s="3">
        <v>136</v>
      </c>
      <c r="G10" s="3">
        <v>243</v>
      </c>
      <c r="H10" s="3">
        <v>236</v>
      </c>
      <c r="I10" s="3">
        <v>74</v>
      </c>
      <c r="J10" s="22">
        <v>1</v>
      </c>
    </row>
    <row r="11" spans="1:10">
      <c r="A11" s="3">
        <v>2024</v>
      </c>
      <c r="B11" s="3">
        <v>923</v>
      </c>
      <c r="C11" s="3">
        <v>2152</v>
      </c>
      <c r="D11" s="3">
        <v>2597</v>
      </c>
      <c r="E11" s="3">
        <v>2973</v>
      </c>
      <c r="F11" s="3">
        <v>1869</v>
      </c>
      <c r="G11" s="3">
        <v>3677</v>
      </c>
      <c r="H11" s="3">
        <v>3684</v>
      </c>
      <c r="I11" s="3">
        <v>1323</v>
      </c>
      <c r="J11" s="3">
        <v>20</v>
      </c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4" sqref="A14"/>
    </sheetView>
  </sheetViews>
  <sheetFormatPr defaultColWidth="9" defaultRowHeight="13.85"/>
  <cols>
    <col min="1" max="1" width="16.7522123893805" customWidth="1"/>
    <col min="2" max="2" width="12.2920353982301" customWidth="1"/>
    <col min="3" max="3" width="13.9469026548673" customWidth="1"/>
    <col min="11" max="11" width="9.24778761061947" customWidth="1"/>
  </cols>
  <sheetData>
    <row r="1" spans="1:12">
      <c r="A1" s="1" t="s">
        <v>0</v>
      </c>
      <c r="B1" s="1" t="s">
        <v>32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39</v>
      </c>
      <c r="I1" s="1" t="s">
        <v>46</v>
      </c>
      <c r="J1" s="15"/>
      <c r="K1" s="15"/>
      <c r="L1" s="15"/>
    </row>
    <row r="2" spans="1:12">
      <c r="A2" s="1">
        <v>2015</v>
      </c>
      <c r="B2" s="1">
        <v>2672</v>
      </c>
      <c r="C2" s="1">
        <v>2806</v>
      </c>
      <c r="D2" s="1">
        <v>6870</v>
      </c>
      <c r="E2" s="1">
        <v>4193</v>
      </c>
      <c r="F2" s="1">
        <v>1293</v>
      </c>
      <c r="G2" s="1">
        <v>2154</v>
      </c>
      <c r="H2" s="1">
        <v>736</v>
      </c>
      <c r="I2" s="1">
        <v>38</v>
      </c>
      <c r="J2" s="18"/>
      <c r="K2" s="18"/>
      <c r="L2" s="18"/>
    </row>
    <row r="3" spans="1:12">
      <c r="A3" s="1">
        <v>2016</v>
      </c>
      <c r="B3" s="1">
        <v>2020</v>
      </c>
      <c r="C3" s="1">
        <v>2435</v>
      </c>
      <c r="D3" s="1">
        <v>5833</v>
      </c>
      <c r="E3" s="1">
        <v>3998</v>
      </c>
      <c r="F3" s="1">
        <v>1094</v>
      </c>
      <c r="G3" s="1">
        <v>1905</v>
      </c>
      <c r="H3" s="1">
        <v>657</v>
      </c>
      <c r="I3" s="1">
        <v>30</v>
      </c>
    </row>
    <row r="4" spans="1:12">
      <c r="A4" s="1">
        <v>2017</v>
      </c>
      <c r="B4" s="1">
        <v>2237</v>
      </c>
      <c r="C4" s="1">
        <v>2779</v>
      </c>
      <c r="D4" s="1">
        <v>6015</v>
      </c>
      <c r="E4" s="1">
        <v>4204</v>
      </c>
      <c r="F4" s="1">
        <v>1035</v>
      </c>
      <c r="G4" s="1">
        <v>1924</v>
      </c>
      <c r="H4" s="1">
        <v>739</v>
      </c>
      <c r="I4" s="1">
        <v>42</v>
      </c>
    </row>
    <row r="5" spans="1:12">
      <c r="A5" s="1">
        <v>2018</v>
      </c>
      <c r="B5" s="1">
        <v>1995</v>
      </c>
      <c r="C5" s="1">
        <v>2431</v>
      </c>
      <c r="D5" s="1">
        <v>4742</v>
      </c>
      <c r="E5" s="1">
        <v>3212</v>
      </c>
      <c r="F5" s="1">
        <v>925</v>
      </c>
      <c r="G5" s="1">
        <v>1629</v>
      </c>
      <c r="H5" s="1">
        <v>652</v>
      </c>
      <c r="I5" s="1">
        <v>23</v>
      </c>
    </row>
    <row r="6" spans="1:12">
      <c r="A6" s="1">
        <v>2019</v>
      </c>
      <c r="B6" s="1">
        <v>2183</v>
      </c>
      <c r="C6" s="1">
        <v>2876</v>
      </c>
      <c r="D6" s="1">
        <v>5874</v>
      </c>
      <c r="E6" s="1">
        <v>3717</v>
      </c>
      <c r="F6" s="1">
        <v>1053</v>
      </c>
      <c r="G6" s="1">
        <v>2030</v>
      </c>
      <c r="H6" s="1">
        <v>864</v>
      </c>
      <c r="I6" s="1">
        <v>20</v>
      </c>
    </row>
    <row r="7" spans="1:12">
      <c r="A7" s="1">
        <v>2020</v>
      </c>
      <c r="B7" s="1">
        <v>698</v>
      </c>
      <c r="C7" s="1">
        <v>983</v>
      </c>
      <c r="D7" s="1">
        <v>1828</v>
      </c>
      <c r="E7" s="1">
        <v>1078</v>
      </c>
      <c r="F7" s="1">
        <v>366</v>
      </c>
      <c r="G7" s="1">
        <v>774</v>
      </c>
      <c r="H7" s="1">
        <v>388</v>
      </c>
      <c r="I7" s="1">
        <v>9</v>
      </c>
    </row>
    <row r="8" spans="1:12">
      <c r="A8" s="1">
        <v>2021</v>
      </c>
      <c r="B8" s="1">
        <v>177</v>
      </c>
      <c r="C8" s="1">
        <v>378</v>
      </c>
      <c r="D8" s="1">
        <v>232</v>
      </c>
      <c r="E8" s="1">
        <v>179</v>
      </c>
      <c r="F8" s="1">
        <v>262</v>
      </c>
      <c r="G8" s="1">
        <v>603</v>
      </c>
      <c r="H8" s="1">
        <v>283</v>
      </c>
      <c r="I8" s="1">
        <v>2</v>
      </c>
    </row>
    <row r="9" spans="1:12">
      <c r="A9" s="1">
        <v>2022</v>
      </c>
      <c r="B9" s="1">
        <v>318</v>
      </c>
      <c r="C9" s="1">
        <v>583</v>
      </c>
      <c r="D9" s="1">
        <v>537</v>
      </c>
      <c r="E9" s="1">
        <v>234</v>
      </c>
      <c r="F9" s="1">
        <v>357</v>
      </c>
      <c r="G9" s="1">
        <v>648</v>
      </c>
      <c r="H9" s="1">
        <v>365</v>
      </c>
      <c r="I9" s="1">
        <v>2</v>
      </c>
    </row>
    <row r="10" spans="1:12">
      <c r="A10" s="1">
        <v>2023</v>
      </c>
      <c r="B10" s="1">
        <v>830</v>
      </c>
      <c r="C10" s="1">
        <v>1484</v>
      </c>
      <c r="D10" s="1">
        <v>1891</v>
      </c>
      <c r="E10" s="1">
        <v>1054</v>
      </c>
      <c r="F10" s="1">
        <v>420</v>
      </c>
      <c r="G10" s="1">
        <v>877</v>
      </c>
      <c r="H10" s="1">
        <v>497</v>
      </c>
      <c r="I10" s="1">
        <v>10</v>
      </c>
    </row>
    <row r="11" spans="1:12">
      <c r="I11" s="19"/>
    </row>
    <row r="12" spans="1:12">
      <c r="A12" s="1" t="s">
        <v>0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  <c r="H12" s="1" t="s">
        <v>46</v>
      </c>
    </row>
    <row r="13" spans="1:12">
      <c r="A13" s="1">
        <v>2024</v>
      </c>
      <c r="B13" s="1">
        <v>1573</v>
      </c>
      <c r="C13" s="1">
        <v>1150</v>
      </c>
      <c r="D13" s="1">
        <v>6539</v>
      </c>
      <c r="E13" s="1">
        <v>4945</v>
      </c>
      <c r="F13" s="1">
        <v>15194</v>
      </c>
      <c r="G13" s="1">
        <v>6026</v>
      </c>
      <c r="H13" s="1">
        <v>8</v>
      </c>
    </row>
    <row r="14" spans="1:12">
      <c r="A14" s="1">
        <v>2025</v>
      </c>
      <c r="B14" s="1">
        <v>2169</v>
      </c>
      <c r="C14" s="1">
        <v>1421</v>
      </c>
      <c r="D14" s="1">
        <v>7523</v>
      </c>
      <c r="E14" s="1">
        <v>4456</v>
      </c>
      <c r="F14" s="1">
        <v>7729</v>
      </c>
      <c r="G14" s="1">
        <v>5477</v>
      </c>
      <c r="H14" s="1">
        <v>8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E22" sqref="E22"/>
    </sheetView>
  </sheetViews>
  <sheetFormatPr defaultColWidth="9" defaultRowHeight="13.85"/>
  <cols>
    <col min="2" max="2" width="12.0265486725664" customWidth="1"/>
    <col min="3" max="3" width="12.1592920353982" customWidth="1"/>
    <col min="11" max="11" width="11.6194690265487" customWidth="1"/>
    <col min="12" max="12" width="11.0973451327434" customWidth="1"/>
    <col min="13" max="13" width="12.353982300885" customWidth="1"/>
  </cols>
  <sheetData>
    <row r="1" spans="1:16">
      <c r="A1" s="3" t="s">
        <v>53</v>
      </c>
      <c r="B1" s="3" t="s">
        <v>54</v>
      </c>
      <c r="C1" s="3" t="s">
        <v>41</v>
      </c>
      <c r="D1" s="3" t="s">
        <v>2</v>
      </c>
      <c r="E1" s="3" t="s">
        <v>3</v>
      </c>
      <c r="F1" s="3" t="s">
        <v>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15"/>
      <c r="N1" s="15"/>
      <c r="O1" s="15"/>
      <c r="P1" s="15"/>
    </row>
    <row r="2" spans="1:16">
      <c r="A2" s="3">
        <v>2018</v>
      </c>
      <c r="B2" s="3">
        <v>508</v>
      </c>
      <c r="C2" s="3">
        <v>75</v>
      </c>
      <c r="D2" s="3">
        <v>567</v>
      </c>
      <c r="E2" s="3">
        <v>4241</v>
      </c>
      <c r="F2" s="3">
        <v>2875</v>
      </c>
      <c r="G2" s="3">
        <v>383</v>
      </c>
      <c r="H2" s="3">
        <v>358</v>
      </c>
      <c r="I2" s="3">
        <v>633</v>
      </c>
      <c r="J2" s="3">
        <v>783</v>
      </c>
      <c r="K2" s="3">
        <v>334</v>
      </c>
      <c r="L2" s="3">
        <v>433</v>
      </c>
      <c r="M2" s="15"/>
      <c r="N2" s="15"/>
      <c r="O2" s="15"/>
      <c r="P2" s="15"/>
    </row>
    <row r="3" spans="1:16">
      <c r="A3" s="3">
        <v>2019</v>
      </c>
      <c r="B3" s="3">
        <v>761</v>
      </c>
      <c r="C3" s="3">
        <v>95</v>
      </c>
      <c r="D3" s="3">
        <v>785</v>
      </c>
      <c r="E3" s="3">
        <v>5685</v>
      </c>
      <c r="F3" s="3">
        <v>4305</v>
      </c>
      <c r="G3" s="3">
        <v>606</v>
      </c>
      <c r="H3" s="3">
        <v>583</v>
      </c>
      <c r="I3" s="3">
        <v>832</v>
      </c>
      <c r="J3" s="3">
        <v>1154</v>
      </c>
      <c r="K3" s="3">
        <v>464</v>
      </c>
      <c r="L3" s="3">
        <v>702</v>
      </c>
    </row>
    <row r="4" spans="1:16">
      <c r="A4" s="3">
        <v>2020</v>
      </c>
      <c r="B4" s="3">
        <v>143</v>
      </c>
      <c r="C4" s="3">
        <v>14</v>
      </c>
      <c r="D4" s="3">
        <v>173</v>
      </c>
      <c r="E4" s="3">
        <v>778</v>
      </c>
      <c r="F4" s="3">
        <v>585</v>
      </c>
      <c r="G4" s="3">
        <v>107</v>
      </c>
      <c r="H4" s="3">
        <v>145</v>
      </c>
      <c r="I4" s="3">
        <v>213</v>
      </c>
      <c r="J4" s="3">
        <v>267</v>
      </c>
      <c r="K4" s="3">
        <v>111</v>
      </c>
      <c r="L4" s="3">
        <v>135</v>
      </c>
    </row>
    <row r="5" spans="1:16">
      <c r="A5" s="3">
        <v>2021</v>
      </c>
      <c r="B5" s="3">
        <v>16</v>
      </c>
      <c r="C5" s="3">
        <v>12</v>
      </c>
      <c r="D5" s="3">
        <v>176</v>
      </c>
      <c r="E5" s="3">
        <v>112</v>
      </c>
      <c r="F5" s="3">
        <v>52</v>
      </c>
      <c r="G5" s="3">
        <v>31</v>
      </c>
      <c r="H5" s="3">
        <v>93</v>
      </c>
      <c r="I5" s="3">
        <v>83</v>
      </c>
      <c r="J5" s="3">
        <v>59</v>
      </c>
      <c r="K5" s="3">
        <v>36</v>
      </c>
      <c r="L5" s="3">
        <v>42</v>
      </c>
    </row>
    <row r="6" spans="1:16">
      <c r="A6" s="3">
        <v>2022</v>
      </c>
      <c r="B6" s="3">
        <v>14</v>
      </c>
      <c r="C6" s="3">
        <v>13</v>
      </c>
      <c r="D6" s="3">
        <v>104</v>
      </c>
      <c r="E6" s="3">
        <v>82</v>
      </c>
      <c r="F6" s="3">
        <v>44</v>
      </c>
      <c r="G6" s="3">
        <v>16</v>
      </c>
      <c r="H6" s="3">
        <v>44</v>
      </c>
      <c r="I6" s="3">
        <v>45</v>
      </c>
      <c r="J6" s="3">
        <v>40</v>
      </c>
      <c r="K6" s="3">
        <v>16</v>
      </c>
      <c r="L6" s="3">
        <v>51</v>
      </c>
    </row>
    <row r="7" spans="1:16">
      <c r="A7" s="3">
        <v>2023</v>
      </c>
      <c r="B7" s="3">
        <v>20</v>
      </c>
      <c r="C7" s="3">
        <v>15</v>
      </c>
      <c r="D7" s="3">
        <v>201</v>
      </c>
      <c r="E7" s="3">
        <v>280</v>
      </c>
      <c r="F7" s="3">
        <v>106</v>
      </c>
      <c r="G7" s="3">
        <v>46</v>
      </c>
      <c r="H7" s="3">
        <v>81</v>
      </c>
      <c r="I7" s="3">
        <v>68</v>
      </c>
      <c r="J7" s="3">
        <v>65</v>
      </c>
      <c r="K7" s="3">
        <v>36</v>
      </c>
      <c r="L7" s="3">
        <v>48</v>
      </c>
    </row>
    <row r="8" spans="1:16">
      <c r="A8" s="3">
        <v>2024</v>
      </c>
      <c r="B8" s="3">
        <v>137</v>
      </c>
      <c r="C8" s="3">
        <v>301</v>
      </c>
      <c r="D8" s="3">
        <v>780</v>
      </c>
      <c r="E8" s="3">
        <v>1427</v>
      </c>
      <c r="F8" s="3">
        <v>401</v>
      </c>
      <c r="G8" s="3">
        <v>175</v>
      </c>
      <c r="H8" s="3">
        <v>246</v>
      </c>
      <c r="I8" s="3">
        <v>255</v>
      </c>
      <c r="J8" s="3">
        <v>133</v>
      </c>
      <c r="K8" s="3">
        <v>114</v>
      </c>
      <c r="L8" s="3"/>
    </row>
    <row r="11" spans="1:16">
      <c r="A11" s="3" t="s">
        <v>0</v>
      </c>
      <c r="B11" s="3" t="s">
        <v>54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I11" s="3" t="s">
        <v>67</v>
      </c>
      <c r="J11" s="3" t="s">
        <v>68</v>
      </c>
      <c r="K11" s="3" t="s">
        <v>69</v>
      </c>
      <c r="L11" s="3" t="s">
        <v>70</v>
      </c>
      <c r="M11" s="3" t="s">
        <v>71</v>
      </c>
      <c r="N11" s="3" t="s">
        <v>72</v>
      </c>
      <c r="P11" s="3"/>
    </row>
    <row r="12" spans="1:16">
      <c r="A12" s="3">
        <v>2015</v>
      </c>
      <c r="B12" s="3">
        <v>416</v>
      </c>
      <c r="C12" s="3">
        <v>174</v>
      </c>
      <c r="D12" s="3">
        <v>106</v>
      </c>
      <c r="E12" s="3">
        <v>100</v>
      </c>
      <c r="F12" s="3">
        <v>92</v>
      </c>
      <c r="G12" s="3">
        <v>65</v>
      </c>
      <c r="H12" s="3">
        <v>79</v>
      </c>
      <c r="I12" s="3">
        <v>110</v>
      </c>
      <c r="J12" s="3">
        <v>123</v>
      </c>
      <c r="K12" s="3">
        <v>147</v>
      </c>
      <c r="L12" s="3">
        <v>500</v>
      </c>
      <c r="M12" s="3">
        <v>95</v>
      </c>
      <c r="N12" s="3">
        <v>668</v>
      </c>
      <c r="P12" s="3"/>
    </row>
    <row r="13" spans="1:16">
      <c r="A13" s="3">
        <v>2016</v>
      </c>
      <c r="B13" s="3">
        <v>391</v>
      </c>
      <c r="C13" s="3">
        <v>140</v>
      </c>
      <c r="D13" s="3">
        <v>95</v>
      </c>
      <c r="E13" s="3">
        <v>104</v>
      </c>
      <c r="F13" s="3">
        <v>125</v>
      </c>
      <c r="G13" s="3">
        <v>130</v>
      </c>
      <c r="H13" s="3">
        <v>112</v>
      </c>
      <c r="I13" s="3">
        <v>131</v>
      </c>
      <c r="J13" s="3">
        <v>176</v>
      </c>
      <c r="K13" s="3">
        <v>181</v>
      </c>
      <c r="L13" s="3">
        <v>681</v>
      </c>
      <c r="M13" s="3">
        <v>90</v>
      </c>
      <c r="N13" s="3">
        <v>655</v>
      </c>
      <c r="P13" s="3"/>
    </row>
    <row r="14" spans="1:16">
      <c r="A14" s="3">
        <v>2017</v>
      </c>
      <c r="B14" s="3">
        <v>220</v>
      </c>
      <c r="C14" s="3">
        <v>143</v>
      </c>
      <c r="D14" s="3">
        <v>58</v>
      </c>
      <c r="E14" s="3">
        <v>50</v>
      </c>
      <c r="F14" s="3">
        <v>48</v>
      </c>
      <c r="G14" s="3">
        <v>85</v>
      </c>
      <c r="H14" s="3">
        <v>68</v>
      </c>
      <c r="I14" s="3">
        <v>66</v>
      </c>
      <c r="J14" s="3">
        <v>71</v>
      </c>
      <c r="K14" s="3">
        <v>82</v>
      </c>
      <c r="L14" s="3">
        <v>321</v>
      </c>
      <c r="M14" s="3">
        <v>74</v>
      </c>
      <c r="N14" s="3">
        <v>375</v>
      </c>
      <c r="P14" s="3"/>
    </row>
    <row r="15" spans="1:16">
      <c r="P15" s="3"/>
    </row>
    <row r="16" spans="1:16">
      <c r="N16" s="3"/>
      <c r="P16" s="3"/>
    </row>
    <row r="23" spans="1: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6"/>
    </row>
    <row r="24" spans="1:1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7"/>
      <c r="M24" s="9"/>
      <c r="N24" s="17"/>
    </row>
  </sheetData>
  <mergeCells count="1">
    <mergeCell ref="K8:L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G22" sqref="G22"/>
    </sheetView>
  </sheetViews>
  <sheetFormatPr defaultColWidth="9" defaultRowHeight="13.85"/>
  <cols>
    <col min="1" max="1" width="11.7522123893805" customWidth="1"/>
  </cols>
  <sheetData>
    <row r="1" spans="1:12">
      <c r="A1" s="2" t="s">
        <v>0</v>
      </c>
      <c r="B1" s="10" t="s">
        <v>73</v>
      </c>
      <c r="C1" s="1" t="s">
        <v>41</v>
      </c>
      <c r="D1" s="11" t="s">
        <v>2</v>
      </c>
      <c r="E1" s="11" t="s">
        <v>3</v>
      </c>
      <c r="F1" s="12" t="s">
        <v>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</row>
    <row r="2" spans="1:12">
      <c r="A2" s="13">
        <v>2025</v>
      </c>
      <c r="B2" s="13">
        <v>246</v>
      </c>
      <c r="C2" s="13">
        <v>559</v>
      </c>
      <c r="D2" s="13">
        <v>475</v>
      </c>
      <c r="E2" s="13">
        <v>331</v>
      </c>
      <c r="F2" s="13">
        <v>179</v>
      </c>
      <c r="G2" s="13">
        <v>189</v>
      </c>
      <c r="H2" s="13">
        <v>183</v>
      </c>
      <c r="I2" s="13">
        <v>204</v>
      </c>
      <c r="J2" s="13">
        <v>149</v>
      </c>
      <c r="K2" s="13">
        <v>92</v>
      </c>
      <c r="L2" s="13">
        <v>70</v>
      </c>
    </row>
    <row r="3" spans="1:12">
      <c r="A3" s="2">
        <v>2024</v>
      </c>
      <c r="B3" s="10">
        <v>120</v>
      </c>
      <c r="C3" s="13">
        <v>242</v>
      </c>
      <c r="D3" s="10">
        <v>294</v>
      </c>
      <c r="E3" s="10">
        <v>306</v>
      </c>
      <c r="F3" s="12">
        <v>158</v>
      </c>
      <c r="G3" s="2">
        <v>128</v>
      </c>
      <c r="H3" s="2">
        <v>132</v>
      </c>
      <c r="I3" s="2">
        <v>148</v>
      </c>
      <c r="J3" s="2">
        <v>112</v>
      </c>
      <c r="K3" s="2">
        <v>60</v>
      </c>
      <c r="L3" s="2">
        <v>48</v>
      </c>
    </row>
    <row r="4" spans="1:12">
      <c r="A4" s="3">
        <v>2023</v>
      </c>
      <c r="B4" s="13">
        <v>31</v>
      </c>
      <c r="C4" s="13">
        <v>18</v>
      </c>
      <c r="D4" s="13">
        <v>12</v>
      </c>
      <c r="E4" s="13">
        <v>16</v>
      </c>
      <c r="F4" s="13">
        <v>5</v>
      </c>
      <c r="G4" s="13">
        <v>12</v>
      </c>
      <c r="H4" s="13">
        <v>14</v>
      </c>
      <c r="I4" s="13">
        <v>14</v>
      </c>
      <c r="J4" s="13">
        <v>8</v>
      </c>
      <c r="K4" s="13">
        <v>7</v>
      </c>
      <c r="L4" s="13">
        <v>4</v>
      </c>
    </row>
    <row r="5" spans="1:12">
      <c r="A5" s="3">
        <v>2022</v>
      </c>
      <c r="B5" s="13">
        <v>1</v>
      </c>
      <c r="C5" s="13">
        <v>1</v>
      </c>
      <c r="D5" s="13">
        <v>1</v>
      </c>
      <c r="E5" s="13">
        <v>2</v>
      </c>
      <c r="F5" s="13">
        <v>2</v>
      </c>
      <c r="G5" s="13">
        <v>1</v>
      </c>
      <c r="H5" s="13">
        <v>3</v>
      </c>
      <c r="I5" s="13">
        <v>0</v>
      </c>
      <c r="J5" s="13">
        <v>2</v>
      </c>
      <c r="K5" s="13">
        <v>1</v>
      </c>
      <c r="L5" s="13">
        <v>4</v>
      </c>
    </row>
    <row r="6" spans="1:12">
      <c r="A6" s="3">
        <v>2021</v>
      </c>
      <c r="B6" s="13">
        <v>1</v>
      </c>
      <c r="C6" s="13">
        <v>7</v>
      </c>
      <c r="D6" s="13">
        <v>2</v>
      </c>
      <c r="E6" s="13">
        <v>2</v>
      </c>
      <c r="F6" s="13"/>
      <c r="G6" s="13">
        <v>5</v>
      </c>
      <c r="H6" s="13">
        <v>5</v>
      </c>
      <c r="I6" s="13">
        <v>6</v>
      </c>
      <c r="J6" s="13">
        <v>6</v>
      </c>
      <c r="K6" s="13">
        <v>2</v>
      </c>
      <c r="L6" s="13">
        <v>7</v>
      </c>
    </row>
    <row r="7" spans="1:12">
      <c r="A7" s="3">
        <v>2020</v>
      </c>
      <c r="B7" s="13">
        <v>16</v>
      </c>
      <c r="C7" s="13">
        <v>29</v>
      </c>
      <c r="D7" s="13">
        <v>15</v>
      </c>
      <c r="E7" s="13">
        <v>16</v>
      </c>
      <c r="F7" s="13">
        <v>5</v>
      </c>
      <c r="G7" s="13">
        <v>19</v>
      </c>
      <c r="H7" s="13">
        <v>16</v>
      </c>
      <c r="I7" s="13">
        <v>17</v>
      </c>
      <c r="J7" s="13">
        <v>24</v>
      </c>
      <c r="K7" s="13">
        <v>9</v>
      </c>
      <c r="L7" s="13">
        <v>5</v>
      </c>
    </row>
    <row r="8" spans="1:12">
      <c r="A8" s="3">
        <v>2019</v>
      </c>
      <c r="B8" s="13">
        <v>88</v>
      </c>
      <c r="C8" s="13">
        <v>168</v>
      </c>
      <c r="D8" s="13">
        <v>115</v>
      </c>
      <c r="E8" s="13">
        <v>98</v>
      </c>
      <c r="F8" s="13">
        <v>70</v>
      </c>
      <c r="G8" s="13">
        <v>94</v>
      </c>
      <c r="H8" s="13">
        <v>120</v>
      </c>
      <c r="I8" s="13">
        <v>154</v>
      </c>
      <c r="J8" s="13">
        <v>120</v>
      </c>
      <c r="K8" s="13">
        <v>106</v>
      </c>
      <c r="L8" s="13">
        <v>73</v>
      </c>
    </row>
    <row r="9" spans="1:12">
      <c r="A9" s="3">
        <v>2018</v>
      </c>
      <c r="B9" s="13">
        <v>184</v>
      </c>
      <c r="C9" s="13">
        <v>370</v>
      </c>
      <c r="D9" s="13">
        <v>407</v>
      </c>
      <c r="E9" s="13">
        <v>306</v>
      </c>
      <c r="F9" s="13">
        <v>192</v>
      </c>
      <c r="G9" s="13">
        <v>254</v>
      </c>
      <c r="H9" s="13">
        <v>296</v>
      </c>
      <c r="I9" s="13">
        <v>372</v>
      </c>
      <c r="J9" s="13">
        <v>274</v>
      </c>
      <c r="K9" s="13">
        <v>163</v>
      </c>
      <c r="L9" s="13">
        <v>134</v>
      </c>
    </row>
    <row r="10" spans="1:12">
      <c r="A10" s="3">
        <v>2017</v>
      </c>
      <c r="B10" s="13">
        <v>129</v>
      </c>
      <c r="C10" s="13">
        <v>222</v>
      </c>
      <c r="D10" s="13">
        <v>295</v>
      </c>
      <c r="E10" s="13">
        <v>269</v>
      </c>
      <c r="F10" s="13">
        <v>202</v>
      </c>
      <c r="G10" s="13">
        <v>151</v>
      </c>
      <c r="H10" s="13">
        <v>199</v>
      </c>
      <c r="I10" s="13">
        <v>269</v>
      </c>
      <c r="J10" s="13">
        <v>198</v>
      </c>
      <c r="K10" s="13">
        <v>120</v>
      </c>
      <c r="L10" s="13">
        <v>89</v>
      </c>
    </row>
    <row r="11" spans="1:12">
      <c r="A11" s="3">
        <v>2016</v>
      </c>
      <c r="B11" s="13">
        <v>68</v>
      </c>
      <c r="C11" s="13">
        <v>109</v>
      </c>
      <c r="D11" s="13">
        <v>120</v>
      </c>
      <c r="E11" s="13">
        <v>98</v>
      </c>
      <c r="F11" s="13">
        <v>91</v>
      </c>
      <c r="G11" s="13">
        <v>107</v>
      </c>
      <c r="H11" s="13">
        <v>125</v>
      </c>
      <c r="I11" s="13">
        <v>157</v>
      </c>
      <c r="J11" s="13">
        <v>113</v>
      </c>
      <c r="K11" s="13">
        <v>62</v>
      </c>
      <c r="L11" s="13">
        <v>46</v>
      </c>
    </row>
    <row r="12" spans="1:12">
      <c r="A12" s="3">
        <v>2015</v>
      </c>
      <c r="B12" s="13">
        <v>90</v>
      </c>
      <c r="C12" s="13">
        <v>136</v>
      </c>
      <c r="D12" s="13">
        <v>144</v>
      </c>
      <c r="E12" s="13">
        <v>123</v>
      </c>
      <c r="F12" s="13">
        <v>57</v>
      </c>
      <c r="G12" s="13">
        <v>95</v>
      </c>
      <c r="H12" s="13">
        <v>106</v>
      </c>
      <c r="I12" s="13">
        <v>156</v>
      </c>
      <c r="J12" s="13">
        <v>141</v>
      </c>
      <c r="K12" s="13">
        <v>73</v>
      </c>
      <c r="L12" s="13">
        <v>47</v>
      </c>
    </row>
    <row r="13" spans="1:12">
      <c r="A13" s="1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G22" sqref="G22"/>
    </sheetView>
  </sheetViews>
  <sheetFormatPr defaultColWidth="9" defaultRowHeight="13.85"/>
  <sheetData>
    <row r="1" spans="1:13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74</v>
      </c>
      <c r="L1" s="5" t="s">
        <v>75</v>
      </c>
    </row>
    <row r="2" spans="1:13">
      <c r="A2" s="6">
        <v>2025</v>
      </c>
      <c r="B2" s="6">
        <v>140</v>
      </c>
      <c r="C2" s="6">
        <v>51</v>
      </c>
      <c r="D2" s="6">
        <v>62</v>
      </c>
      <c r="E2" s="6">
        <v>81</v>
      </c>
      <c r="F2" s="6">
        <v>62</v>
      </c>
      <c r="G2" s="6">
        <v>94</v>
      </c>
      <c r="H2" s="6">
        <v>112</v>
      </c>
      <c r="I2" s="6">
        <v>90</v>
      </c>
      <c r="J2" s="6">
        <v>33</v>
      </c>
      <c r="K2" s="6">
        <v>31</v>
      </c>
      <c r="L2" s="6">
        <v>24</v>
      </c>
      <c r="M2" s="7"/>
    </row>
    <row r="3" spans="1:13">
      <c r="A3" s="2">
        <v>2024</v>
      </c>
      <c r="B3" s="8">
        <f>2545*0.167</f>
        <v>425.015</v>
      </c>
      <c r="C3" s="8">
        <f>2545*0.047</f>
        <v>119.615</v>
      </c>
      <c r="D3" s="8">
        <f>2545*0.128</f>
        <v>325.76</v>
      </c>
      <c r="E3" s="8">
        <f>2545*0.077</f>
        <v>195.965</v>
      </c>
      <c r="F3" s="8">
        <f>2545*0.088</f>
        <v>223.96</v>
      </c>
      <c r="G3" s="8">
        <f>2545*0.119</f>
        <v>302.855</v>
      </c>
      <c r="H3" s="8">
        <f>2545*0.159</f>
        <v>404.655</v>
      </c>
      <c r="I3" s="8">
        <f>2545*0.102</f>
        <v>259.59</v>
      </c>
      <c r="J3" s="8">
        <f>2545*0.047</f>
        <v>119.615</v>
      </c>
      <c r="K3" s="8">
        <f>2545*0.033</f>
        <v>83.985</v>
      </c>
      <c r="L3" s="8">
        <f>2545*0.028</f>
        <v>71.26</v>
      </c>
      <c r="M3" s="9"/>
    </row>
    <row r="4" spans="1:13">
      <c r="A4" s="5">
        <v>2023</v>
      </c>
      <c r="B4" s="8">
        <v>25.116</v>
      </c>
      <c r="C4" s="8">
        <v>8.97</v>
      </c>
      <c r="D4" s="8">
        <v>18.078</v>
      </c>
      <c r="E4" s="8">
        <v>12.006</v>
      </c>
      <c r="F4" s="8">
        <v>11.04</v>
      </c>
      <c r="G4" s="8">
        <v>8.97</v>
      </c>
      <c r="H4" s="8">
        <v>16.008</v>
      </c>
      <c r="I4" s="8">
        <v>20.01</v>
      </c>
      <c r="J4" s="8">
        <v>8.004</v>
      </c>
      <c r="K4" s="8">
        <v>4.968</v>
      </c>
      <c r="L4" s="8">
        <v>4.002</v>
      </c>
    </row>
    <row r="5" spans="1:13">
      <c r="A5" s="5">
        <v>2022</v>
      </c>
      <c r="B5" s="8">
        <v>1.836</v>
      </c>
      <c r="C5" s="8">
        <v>0</v>
      </c>
      <c r="D5" s="8">
        <v>0.912</v>
      </c>
      <c r="E5" s="8">
        <v>1.836</v>
      </c>
      <c r="F5" s="8">
        <v>0.912</v>
      </c>
      <c r="G5" s="8">
        <v>1.836</v>
      </c>
      <c r="H5" s="8">
        <v>0.912</v>
      </c>
      <c r="I5" s="8">
        <v>1.836</v>
      </c>
      <c r="J5" s="8">
        <v>0.912</v>
      </c>
      <c r="K5" s="8">
        <v>0</v>
      </c>
      <c r="L5" s="8">
        <v>0.912</v>
      </c>
    </row>
    <row r="6" spans="1:13">
      <c r="A6" s="5">
        <v>2021</v>
      </c>
      <c r="B6" s="8">
        <v>1.991</v>
      </c>
      <c r="C6" s="8">
        <v>0.99</v>
      </c>
      <c r="D6" s="8">
        <v>0</v>
      </c>
      <c r="E6" s="8">
        <v>0.99</v>
      </c>
      <c r="F6" s="8">
        <v>0.99</v>
      </c>
      <c r="G6" s="8">
        <v>0</v>
      </c>
      <c r="H6" s="8">
        <v>2.992</v>
      </c>
      <c r="I6" s="8">
        <v>0.99</v>
      </c>
      <c r="J6" s="8">
        <v>0</v>
      </c>
      <c r="K6" s="8">
        <v>0.99</v>
      </c>
      <c r="L6" s="8">
        <v>0.99</v>
      </c>
    </row>
    <row r="7" spans="1:13">
      <c r="A7" s="5">
        <v>2020</v>
      </c>
      <c r="B7" s="8">
        <v>43.847</v>
      </c>
      <c r="C7" s="8">
        <v>23.941</v>
      </c>
      <c r="D7" s="8">
        <v>33.894</v>
      </c>
      <c r="E7" s="8">
        <v>28.783</v>
      </c>
      <c r="F7" s="8">
        <v>19.906</v>
      </c>
      <c r="G7" s="8">
        <v>28.783</v>
      </c>
      <c r="H7" s="8">
        <v>43.847</v>
      </c>
      <c r="I7" s="8">
        <v>18.83</v>
      </c>
      <c r="J7" s="8">
        <v>9.953</v>
      </c>
      <c r="K7" s="8">
        <v>7.801</v>
      </c>
      <c r="L7" s="8">
        <v>7.801</v>
      </c>
    </row>
    <row r="8" spans="1:13">
      <c r="A8" s="5">
        <v>2019</v>
      </c>
      <c r="B8" s="8">
        <v>105.57</v>
      </c>
      <c r="C8" s="8">
        <v>38.318</v>
      </c>
      <c r="D8" s="8">
        <v>84.456</v>
      </c>
      <c r="E8" s="8">
        <v>68.816</v>
      </c>
      <c r="F8" s="8">
        <v>107.916</v>
      </c>
      <c r="G8" s="8">
        <v>81.328</v>
      </c>
      <c r="H8" s="8">
        <v>135.286</v>
      </c>
      <c r="I8" s="8">
        <v>79.764</v>
      </c>
      <c r="J8" s="8">
        <v>34.408</v>
      </c>
      <c r="K8" s="8">
        <v>32.844</v>
      </c>
      <c r="L8" s="8">
        <v>8.602</v>
      </c>
    </row>
    <row r="9" spans="1:13">
      <c r="A9" s="5">
        <v>2018</v>
      </c>
      <c r="B9" s="8">
        <v>127.847</v>
      </c>
      <c r="C9" s="8">
        <v>56.903</v>
      </c>
      <c r="D9" s="8">
        <v>91.636</v>
      </c>
      <c r="E9" s="8">
        <v>39.906</v>
      </c>
      <c r="F9" s="8">
        <v>81.29</v>
      </c>
      <c r="G9" s="8">
        <v>88.68</v>
      </c>
      <c r="H9" s="8">
        <v>119.718</v>
      </c>
      <c r="I9" s="8">
        <v>55.425</v>
      </c>
      <c r="J9" s="8">
        <v>29.56</v>
      </c>
      <c r="K9" s="8">
        <v>29.56</v>
      </c>
      <c r="L9" s="8">
        <v>14.78</v>
      </c>
    </row>
    <row r="10" spans="1:13">
      <c r="A10" s="5">
        <v>2017</v>
      </c>
      <c r="B10" s="8">
        <v>132.825</v>
      </c>
      <c r="C10" s="8">
        <v>46.69</v>
      </c>
      <c r="D10" s="8">
        <v>109.48</v>
      </c>
      <c r="E10" s="8">
        <v>57.96</v>
      </c>
      <c r="F10" s="8">
        <v>82.915</v>
      </c>
      <c r="G10" s="8">
        <v>90.965</v>
      </c>
      <c r="H10" s="8">
        <v>124.775</v>
      </c>
      <c r="I10" s="8">
        <v>64.4</v>
      </c>
      <c r="J10" s="8">
        <v>38.64</v>
      </c>
      <c r="K10" s="8">
        <v>38.64</v>
      </c>
      <c r="L10" s="8">
        <v>14.49</v>
      </c>
    </row>
    <row r="11" spans="1:13">
      <c r="A11" s="5">
        <v>2016</v>
      </c>
      <c r="B11" s="8">
        <v>126.973</v>
      </c>
      <c r="C11" s="8">
        <v>46.851</v>
      </c>
      <c r="D11" s="8">
        <v>72.653</v>
      </c>
      <c r="E11" s="8">
        <v>61.789</v>
      </c>
      <c r="F11" s="8">
        <v>84.875</v>
      </c>
      <c r="G11" s="8">
        <v>79.443</v>
      </c>
      <c r="H11" s="8">
        <v>91.665</v>
      </c>
      <c r="I11" s="8">
        <v>41.419</v>
      </c>
      <c r="J11" s="8">
        <v>33.95</v>
      </c>
      <c r="K11" s="8">
        <v>29.876</v>
      </c>
      <c r="L11" s="8">
        <v>6.79</v>
      </c>
    </row>
    <row r="12" spans="1:13">
      <c r="A12" s="5">
        <v>2015</v>
      </c>
      <c r="B12" s="8">
        <v>127.233</v>
      </c>
      <c r="C12" s="8">
        <v>37.386</v>
      </c>
      <c r="D12" s="8">
        <v>42.813</v>
      </c>
      <c r="E12" s="8">
        <v>61.506</v>
      </c>
      <c r="F12" s="8">
        <v>76.581</v>
      </c>
      <c r="G12" s="8">
        <v>74.772</v>
      </c>
      <c r="H12" s="8">
        <v>79.596</v>
      </c>
      <c r="I12" s="8">
        <v>37.386</v>
      </c>
      <c r="J12" s="8">
        <v>36.783</v>
      </c>
      <c r="K12" s="8">
        <v>18.693</v>
      </c>
      <c r="L12" s="8">
        <v>6.633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D23" sqref="D23"/>
    </sheetView>
  </sheetViews>
  <sheetFormatPr defaultColWidth="9" defaultRowHeight="13.85"/>
  <sheetData>
    <row r="1" spans="1:9">
      <c r="A1" s="2" t="s">
        <v>0</v>
      </c>
      <c r="B1" s="3" t="s">
        <v>1</v>
      </c>
      <c r="C1" s="4" t="s">
        <v>42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</row>
    <row r="2" spans="1:9">
      <c r="A2" s="3">
        <v>2015</v>
      </c>
      <c r="B2" s="3">
        <v>47</v>
      </c>
      <c r="C2" s="3">
        <v>0</v>
      </c>
      <c r="D2" s="3">
        <v>7</v>
      </c>
      <c r="E2" s="3">
        <v>0</v>
      </c>
      <c r="F2" s="3">
        <v>0</v>
      </c>
      <c r="G2" s="3">
        <v>1</v>
      </c>
      <c r="H2" s="3">
        <v>1</v>
      </c>
      <c r="I2" s="3">
        <v>0</v>
      </c>
    </row>
    <row r="3" spans="1:9">
      <c r="A3" s="3">
        <v>2016</v>
      </c>
      <c r="B3" s="3">
        <v>44</v>
      </c>
      <c r="C3" s="3">
        <v>7</v>
      </c>
      <c r="D3" s="3">
        <v>21</v>
      </c>
      <c r="E3" s="3">
        <v>1</v>
      </c>
      <c r="F3" s="3">
        <v>0</v>
      </c>
      <c r="G3" s="3">
        <v>2</v>
      </c>
      <c r="H3" s="3">
        <v>2</v>
      </c>
      <c r="I3" s="3">
        <v>3</v>
      </c>
    </row>
    <row r="4" spans="1:9">
      <c r="A4" s="3">
        <v>2017</v>
      </c>
      <c r="B4" s="3">
        <v>41</v>
      </c>
      <c r="C4" s="3">
        <v>1</v>
      </c>
      <c r="D4" s="3">
        <v>16</v>
      </c>
      <c r="E4" s="3">
        <v>0</v>
      </c>
      <c r="F4" s="3">
        <v>2</v>
      </c>
      <c r="G4" s="3">
        <v>4</v>
      </c>
      <c r="H4" s="3">
        <v>4</v>
      </c>
      <c r="I4" s="3">
        <v>8</v>
      </c>
    </row>
    <row r="5" spans="1:9">
      <c r="A5" s="3">
        <v>2018</v>
      </c>
      <c r="B5" s="3">
        <v>54</v>
      </c>
      <c r="C5" s="3">
        <v>4</v>
      </c>
      <c r="D5" s="3">
        <v>16</v>
      </c>
      <c r="E5" s="3">
        <v>0</v>
      </c>
      <c r="F5" s="3">
        <v>6</v>
      </c>
      <c r="G5" s="3">
        <v>2</v>
      </c>
      <c r="H5" s="3">
        <v>6</v>
      </c>
      <c r="I5" s="3">
        <v>17</v>
      </c>
    </row>
    <row r="6" spans="1:9">
      <c r="A6" s="3">
        <v>2019</v>
      </c>
      <c r="B6" s="3">
        <v>26</v>
      </c>
      <c r="C6" s="3">
        <v>10</v>
      </c>
      <c r="D6" s="3">
        <v>0</v>
      </c>
      <c r="E6" s="3">
        <v>1</v>
      </c>
      <c r="F6" s="3">
        <v>1</v>
      </c>
      <c r="G6" s="3">
        <v>0</v>
      </c>
      <c r="H6" s="3">
        <v>10</v>
      </c>
      <c r="I6" s="3">
        <v>11</v>
      </c>
    </row>
    <row r="7" spans="1:9">
      <c r="A7" s="3">
        <v>2020</v>
      </c>
      <c r="B7" s="3">
        <v>2</v>
      </c>
      <c r="C7" s="3">
        <v>0</v>
      </c>
      <c r="D7" s="3">
        <v>0</v>
      </c>
      <c r="E7" s="3">
        <v>0</v>
      </c>
      <c r="F7" s="3">
        <v>2</v>
      </c>
      <c r="G7" s="3">
        <v>0</v>
      </c>
      <c r="H7" s="3">
        <v>3</v>
      </c>
      <c r="I7" s="3">
        <v>3</v>
      </c>
    </row>
    <row r="8" spans="1:9">
      <c r="A8" s="5">
        <v>2021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spans="1:9">
      <c r="A9" s="5">
        <v>2022</v>
      </c>
      <c r="B9" s="3">
        <v>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spans="1:9">
      <c r="A10" s="2">
        <v>2023</v>
      </c>
      <c r="B10" s="4" t="s">
        <v>21</v>
      </c>
      <c r="C10" s="4" t="s">
        <v>21</v>
      </c>
      <c r="D10" s="4" t="s">
        <v>23</v>
      </c>
      <c r="E10" s="4" t="s">
        <v>24</v>
      </c>
      <c r="F10" s="4" t="s">
        <v>22</v>
      </c>
      <c r="G10" s="4" t="s">
        <v>22</v>
      </c>
      <c r="H10" s="4" t="s">
        <v>22</v>
      </c>
      <c r="I10" s="4" t="s">
        <v>23</v>
      </c>
    </row>
    <row r="11" spans="1:9">
      <c r="A11" s="3">
        <v>2024</v>
      </c>
      <c r="B11" s="3">
        <v>9</v>
      </c>
      <c r="C11" s="3">
        <v>31</v>
      </c>
      <c r="D11" s="3">
        <v>5</v>
      </c>
      <c r="E11" s="3">
        <v>13</v>
      </c>
      <c r="F11" s="3">
        <v>11</v>
      </c>
      <c r="G11" s="3">
        <v>9</v>
      </c>
      <c r="H11" s="3">
        <v>6</v>
      </c>
      <c r="I11" s="3">
        <v>37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E14" sqref="E14"/>
    </sheetView>
  </sheetViews>
  <sheetFormatPr defaultColWidth="9.02654867256637" defaultRowHeight="13.85"/>
  <sheetData>
    <row r="1" spans="1:12">
      <c r="A1" s="1" t="s">
        <v>0</v>
      </c>
      <c r="B1" s="1" t="s">
        <v>32</v>
      </c>
      <c r="C1" s="1" t="s">
        <v>82</v>
      </c>
      <c r="D1" s="1" t="s">
        <v>34</v>
      </c>
      <c r="E1" s="1" t="s">
        <v>35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</row>
    <row r="2" spans="1:12">
      <c r="A2" s="1">
        <v>2015</v>
      </c>
      <c r="B2" s="1">
        <v>1885</v>
      </c>
      <c r="C2" s="1">
        <v>430</v>
      </c>
      <c r="D2" s="1">
        <v>279</v>
      </c>
      <c r="E2" s="1">
        <v>137</v>
      </c>
      <c r="F2" s="1">
        <v>47</v>
      </c>
      <c r="G2" s="1">
        <v>186</v>
      </c>
      <c r="H2" s="1">
        <v>70</v>
      </c>
      <c r="I2" s="1">
        <v>6</v>
      </c>
      <c r="J2" s="1">
        <v>4</v>
      </c>
      <c r="K2" s="1">
        <v>7</v>
      </c>
      <c r="L2" s="1">
        <v>0</v>
      </c>
    </row>
    <row r="3" spans="1:12">
      <c r="A3" s="1">
        <v>2016</v>
      </c>
      <c r="B3" s="1">
        <v>828</v>
      </c>
      <c r="C3" s="1">
        <v>192</v>
      </c>
      <c r="D3" s="1">
        <v>105</v>
      </c>
      <c r="E3" s="1">
        <v>42</v>
      </c>
      <c r="F3" s="1">
        <v>20</v>
      </c>
      <c r="G3" s="1">
        <v>84</v>
      </c>
      <c r="H3" s="1">
        <v>28</v>
      </c>
      <c r="I3" s="1">
        <v>2</v>
      </c>
      <c r="J3" s="1">
        <v>5</v>
      </c>
      <c r="K3" s="1">
        <v>1</v>
      </c>
      <c r="L3" s="1">
        <v>2</v>
      </c>
    </row>
    <row r="4" spans="1:12">
      <c r="A4" s="1">
        <v>2017</v>
      </c>
      <c r="B4" s="1">
        <v>1042</v>
      </c>
      <c r="C4" s="1">
        <v>299</v>
      </c>
      <c r="D4" s="1">
        <v>198</v>
      </c>
      <c r="E4" s="1">
        <v>125</v>
      </c>
      <c r="F4" s="1">
        <v>35</v>
      </c>
      <c r="G4" s="1">
        <v>101</v>
      </c>
      <c r="H4" s="1">
        <v>54</v>
      </c>
      <c r="I4" s="1">
        <v>5</v>
      </c>
      <c r="J4" s="1">
        <v>3</v>
      </c>
      <c r="K4" s="1">
        <v>6</v>
      </c>
      <c r="L4" s="1">
        <v>0</v>
      </c>
    </row>
    <row r="5" spans="1:12">
      <c r="A5" s="1">
        <v>2018</v>
      </c>
      <c r="B5" s="1">
        <v>1135</v>
      </c>
      <c r="C5" s="1">
        <v>381</v>
      </c>
      <c r="D5" s="1">
        <v>185</v>
      </c>
      <c r="E5" s="1">
        <v>176</v>
      </c>
      <c r="F5" s="1">
        <v>40</v>
      </c>
      <c r="G5" s="1">
        <v>142</v>
      </c>
      <c r="H5" s="1">
        <v>88</v>
      </c>
      <c r="I5" s="1">
        <v>8</v>
      </c>
      <c r="J5" s="1">
        <v>8</v>
      </c>
      <c r="K5" s="1">
        <v>5</v>
      </c>
      <c r="L5" s="1">
        <v>3</v>
      </c>
    </row>
    <row r="6" spans="1:12">
      <c r="A6" s="1">
        <v>2019</v>
      </c>
      <c r="B6" s="1">
        <v>822</v>
      </c>
      <c r="C6" s="1">
        <v>325</v>
      </c>
      <c r="D6" s="1">
        <v>105</v>
      </c>
      <c r="E6" s="1">
        <v>128</v>
      </c>
      <c r="F6" s="1">
        <v>26</v>
      </c>
      <c r="G6" s="1">
        <v>99</v>
      </c>
      <c r="H6" s="1">
        <v>48</v>
      </c>
      <c r="I6" s="1">
        <v>6</v>
      </c>
      <c r="J6" s="1">
        <v>2</v>
      </c>
      <c r="K6" s="1">
        <v>0</v>
      </c>
      <c r="L6" s="1">
        <v>5</v>
      </c>
    </row>
    <row r="7" spans="1:12">
      <c r="A7" s="1">
        <v>2020</v>
      </c>
      <c r="B7" s="1">
        <v>130</v>
      </c>
      <c r="C7" s="1">
        <v>45</v>
      </c>
      <c r="D7" s="1">
        <v>10</v>
      </c>
      <c r="E7" s="1">
        <v>9</v>
      </c>
      <c r="F7" s="1">
        <v>4</v>
      </c>
      <c r="G7" s="1">
        <v>20</v>
      </c>
      <c r="H7" s="1">
        <v>12</v>
      </c>
      <c r="I7" s="1">
        <v>1</v>
      </c>
      <c r="J7" s="1">
        <v>0</v>
      </c>
      <c r="K7" s="1">
        <v>1</v>
      </c>
      <c r="L7" s="1">
        <v>0</v>
      </c>
    </row>
    <row r="8" spans="1:12">
      <c r="A8" s="1">
        <v>2021</v>
      </c>
      <c r="B8" s="1">
        <v>100</v>
      </c>
      <c r="C8" s="1">
        <v>35</v>
      </c>
      <c r="D8" s="1">
        <v>6</v>
      </c>
      <c r="E8" s="1">
        <v>2</v>
      </c>
      <c r="F8" s="1">
        <v>2</v>
      </c>
      <c r="G8" s="1">
        <v>6</v>
      </c>
      <c r="H8" s="1">
        <v>6</v>
      </c>
      <c r="I8" s="1">
        <v>1</v>
      </c>
      <c r="J8" s="1">
        <v>1</v>
      </c>
      <c r="K8" s="1">
        <v>0</v>
      </c>
      <c r="L8" s="1">
        <v>0</v>
      </c>
    </row>
    <row r="9" spans="1:12">
      <c r="A9" s="1">
        <v>2022</v>
      </c>
      <c r="B9" s="1">
        <v>133</v>
      </c>
      <c r="C9" s="1">
        <v>80</v>
      </c>
      <c r="D9" s="1">
        <v>15</v>
      </c>
      <c r="E9" s="1">
        <v>1</v>
      </c>
      <c r="F9" s="1">
        <v>2</v>
      </c>
      <c r="G9" s="1">
        <v>3</v>
      </c>
      <c r="H9" s="1">
        <v>1</v>
      </c>
      <c r="I9" s="1">
        <v>1</v>
      </c>
      <c r="J9" s="1">
        <v>1</v>
      </c>
      <c r="K9" s="1">
        <v>1</v>
      </c>
      <c r="L9" s="1">
        <v>0</v>
      </c>
    </row>
    <row r="10" spans="1:12">
      <c r="A10" s="1">
        <v>2023</v>
      </c>
      <c r="B10" s="1">
        <v>130</v>
      </c>
      <c r="C10" s="1">
        <v>37</v>
      </c>
      <c r="D10" s="1">
        <v>17</v>
      </c>
      <c r="E10" s="1">
        <v>19</v>
      </c>
      <c r="F10" s="1">
        <v>3</v>
      </c>
      <c r="G10" s="1">
        <v>4</v>
      </c>
      <c r="H10" s="1">
        <v>8</v>
      </c>
      <c r="I10" s="1">
        <v>2</v>
      </c>
      <c r="J10" s="1">
        <v>2</v>
      </c>
      <c r="K10" s="1">
        <v>0</v>
      </c>
      <c r="L10" s="1">
        <v>0</v>
      </c>
    </row>
    <row r="11" spans="1:12">
      <c r="A11" s="1">
        <v>2024</v>
      </c>
      <c r="B11" s="1">
        <v>1401</v>
      </c>
      <c r="C11" s="1">
        <v>815</v>
      </c>
      <c r="D11" s="1">
        <v>569</v>
      </c>
      <c r="E11" s="1">
        <v>1738</v>
      </c>
      <c r="F11" s="1">
        <v>1050</v>
      </c>
      <c r="G11" s="1">
        <v>1045</v>
      </c>
      <c r="H11" s="1">
        <v>879</v>
      </c>
      <c r="I11" s="1">
        <v>84</v>
      </c>
      <c r="J11" s="1">
        <v>62</v>
      </c>
      <c r="K11" s="1">
        <v>69</v>
      </c>
      <c r="L11" s="1">
        <v>35</v>
      </c>
    </row>
    <row r="12" spans="1:12">
      <c r="A12" s="1">
        <v>2025</v>
      </c>
      <c r="B12" s="1">
        <v>847</v>
      </c>
      <c r="C12" s="1">
        <v>617</v>
      </c>
      <c r="D12" s="1">
        <v>215</v>
      </c>
      <c r="E12" s="1">
        <v>204</v>
      </c>
      <c r="F12" s="1">
        <v>190</v>
      </c>
      <c r="G12" s="1">
        <v>332</v>
      </c>
      <c r="H12" s="1">
        <v>252</v>
      </c>
      <c r="I12" s="1">
        <v>21</v>
      </c>
      <c r="J12" s="1">
        <v>26</v>
      </c>
      <c r="K12" s="1">
        <v>20</v>
      </c>
      <c r="L12" s="1">
        <v>18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R14" sqref="R14"/>
    </sheetView>
  </sheetViews>
  <sheetFormatPr defaultColWidth="9.02654867256637" defaultRowHeight="13.85"/>
  <cols>
    <col min="3" max="3" width="13.0088495575221" customWidth="1"/>
  </cols>
  <sheetData>
    <row r="1" spans="1:19">
      <c r="A1" s="1" t="s">
        <v>0</v>
      </c>
      <c r="B1" s="1" t="s">
        <v>90</v>
      </c>
      <c r="C1" s="1" t="s">
        <v>91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92</v>
      </c>
      <c r="K1" s="1" t="s">
        <v>35</v>
      </c>
      <c r="L1" s="1" t="s">
        <v>36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39</v>
      </c>
      <c r="R1" s="1" t="s">
        <v>46</v>
      </c>
      <c r="S1" s="1" t="s">
        <v>97</v>
      </c>
    </row>
    <row r="2" spans="1:19">
      <c r="A2" s="1">
        <v>2015</v>
      </c>
      <c r="B2" s="1">
        <v>0</v>
      </c>
      <c r="C2" s="1">
        <v>36</v>
      </c>
      <c r="D2" s="1">
        <v>5</v>
      </c>
      <c r="E2" s="1">
        <v>1</v>
      </c>
      <c r="F2" s="1">
        <v>2</v>
      </c>
      <c r="G2" s="1">
        <v>0</v>
      </c>
      <c r="H2" s="1">
        <v>1</v>
      </c>
      <c r="I2" s="1">
        <v>1</v>
      </c>
      <c r="J2" s="1">
        <v>1</v>
      </c>
      <c r="K2" s="1">
        <v>0</v>
      </c>
      <c r="L2" s="1">
        <v>0</v>
      </c>
      <c r="M2" s="1">
        <v>1</v>
      </c>
      <c r="N2" s="1">
        <v>0</v>
      </c>
      <c r="O2" s="1">
        <v>1</v>
      </c>
      <c r="P2" s="1">
        <v>2</v>
      </c>
      <c r="Q2" s="1">
        <v>1</v>
      </c>
      <c r="R2" s="1">
        <v>0</v>
      </c>
      <c r="S2" s="1">
        <v>52</v>
      </c>
    </row>
    <row r="3" spans="1:19">
      <c r="A3" s="1">
        <v>2016</v>
      </c>
      <c r="B3" s="1">
        <v>1</v>
      </c>
      <c r="C3" s="1">
        <v>26</v>
      </c>
      <c r="D3" s="1">
        <v>4</v>
      </c>
      <c r="E3" s="1">
        <v>5</v>
      </c>
      <c r="F3" s="1">
        <v>5</v>
      </c>
      <c r="G3" s="1">
        <v>1</v>
      </c>
      <c r="H3" s="1">
        <v>6</v>
      </c>
      <c r="I3" s="1">
        <v>0</v>
      </c>
      <c r="J3" s="1">
        <v>3</v>
      </c>
      <c r="K3" s="1">
        <v>4</v>
      </c>
      <c r="L3" s="1">
        <v>3</v>
      </c>
      <c r="M3" s="1">
        <v>5</v>
      </c>
      <c r="N3" s="1">
        <v>3</v>
      </c>
      <c r="O3" s="1">
        <v>0</v>
      </c>
      <c r="P3" s="1">
        <v>0</v>
      </c>
      <c r="Q3" s="1">
        <v>5</v>
      </c>
      <c r="R3" s="1">
        <v>0</v>
      </c>
      <c r="S3" s="1">
        <v>71</v>
      </c>
    </row>
    <row r="4" spans="1:19">
      <c r="A4" s="1">
        <v>2017</v>
      </c>
      <c r="B4" s="1">
        <v>3</v>
      </c>
      <c r="C4" s="1">
        <v>31</v>
      </c>
      <c r="D4" s="1">
        <v>4</v>
      </c>
      <c r="E4" s="1">
        <v>0</v>
      </c>
      <c r="F4" s="1">
        <v>1</v>
      </c>
      <c r="G4" s="1">
        <v>1</v>
      </c>
      <c r="H4" s="1">
        <v>3</v>
      </c>
      <c r="I4" s="1">
        <v>1</v>
      </c>
      <c r="J4" s="1">
        <v>2</v>
      </c>
      <c r="K4" s="1">
        <v>4</v>
      </c>
      <c r="L4" s="1">
        <v>4</v>
      </c>
      <c r="M4" s="1">
        <v>3</v>
      </c>
      <c r="N4" s="1">
        <v>10</v>
      </c>
      <c r="O4" s="1">
        <v>4</v>
      </c>
      <c r="P4" s="1">
        <v>2</v>
      </c>
      <c r="Q4" s="1">
        <v>4</v>
      </c>
      <c r="R4" s="1">
        <v>0</v>
      </c>
      <c r="S4" s="1">
        <v>77</v>
      </c>
    </row>
    <row r="5" spans="1:19">
      <c r="A5" s="1">
        <v>2018</v>
      </c>
      <c r="B5" s="1">
        <v>3</v>
      </c>
      <c r="C5" s="1">
        <v>66</v>
      </c>
      <c r="D5" s="1">
        <v>6</v>
      </c>
      <c r="E5" s="1">
        <v>3</v>
      </c>
      <c r="F5" s="1">
        <v>6</v>
      </c>
      <c r="G5" s="1">
        <v>2</v>
      </c>
      <c r="H5" s="1">
        <v>1</v>
      </c>
      <c r="I5" s="1">
        <v>2</v>
      </c>
      <c r="J5" s="1">
        <v>4</v>
      </c>
      <c r="K5" s="1">
        <v>6</v>
      </c>
      <c r="L5" s="1">
        <v>11</v>
      </c>
      <c r="M5" s="1">
        <v>11</v>
      </c>
      <c r="N5" s="1">
        <v>12</v>
      </c>
      <c r="O5" s="1">
        <v>8</v>
      </c>
      <c r="P5" s="1">
        <v>10</v>
      </c>
      <c r="Q5" s="1">
        <v>23</v>
      </c>
      <c r="R5" s="1">
        <v>0</v>
      </c>
      <c r="S5" s="1">
        <v>174</v>
      </c>
    </row>
    <row r="6" spans="1:19">
      <c r="A6" s="1">
        <v>2019</v>
      </c>
      <c r="B6" s="1">
        <v>0</v>
      </c>
      <c r="C6" s="1">
        <v>0</v>
      </c>
      <c r="D6" s="1">
        <v>1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4</v>
      </c>
      <c r="M6" s="1">
        <v>3</v>
      </c>
      <c r="N6" s="1">
        <v>5</v>
      </c>
      <c r="O6" s="1">
        <v>11</v>
      </c>
      <c r="P6" s="1">
        <v>8</v>
      </c>
      <c r="Q6" s="1">
        <v>11</v>
      </c>
      <c r="R6" s="1">
        <v>0</v>
      </c>
      <c r="S6" s="1">
        <v>44</v>
      </c>
    </row>
    <row r="7" spans="1:19">
      <c r="A7" s="1">
        <v>2020</v>
      </c>
      <c r="B7" s="1">
        <v>2</v>
      </c>
      <c r="C7" s="1">
        <v>14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2</v>
      </c>
      <c r="O7" s="1">
        <v>1</v>
      </c>
      <c r="P7" s="1">
        <v>2</v>
      </c>
      <c r="Q7" s="1">
        <v>0</v>
      </c>
      <c r="R7" s="1">
        <v>0</v>
      </c>
      <c r="S7" s="1">
        <v>22</v>
      </c>
    </row>
    <row r="8" spans="1:19">
      <c r="A8" s="1">
        <v>2021</v>
      </c>
      <c r="B8" s="1">
        <v>0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1</v>
      </c>
      <c r="P8" s="1">
        <v>0</v>
      </c>
      <c r="Q8" s="1">
        <v>3</v>
      </c>
      <c r="R8" s="1">
        <v>0</v>
      </c>
      <c r="S8" s="1">
        <v>8</v>
      </c>
    </row>
    <row r="9" spans="1:19">
      <c r="A9" s="1">
        <v>2022</v>
      </c>
      <c r="B9" s="1">
        <v>1</v>
      </c>
      <c r="C9" s="1">
        <v>3</v>
      </c>
      <c r="D9" s="1">
        <v>1</v>
      </c>
      <c r="E9" s="1">
        <v>0</v>
      </c>
      <c r="F9" s="1">
        <v>1</v>
      </c>
      <c r="G9" s="1">
        <v>2</v>
      </c>
      <c r="H9" s="1">
        <v>1</v>
      </c>
      <c r="I9" s="1">
        <v>0</v>
      </c>
      <c r="J9" s="1">
        <v>0</v>
      </c>
      <c r="K9" s="1">
        <v>1</v>
      </c>
      <c r="L9" s="1">
        <v>1</v>
      </c>
      <c r="M9" s="1">
        <v>2</v>
      </c>
      <c r="N9" s="1">
        <v>1</v>
      </c>
      <c r="O9" s="1">
        <v>4</v>
      </c>
      <c r="P9" s="1">
        <v>0</v>
      </c>
      <c r="Q9" s="1">
        <v>1</v>
      </c>
      <c r="R9" s="1">
        <v>0</v>
      </c>
      <c r="S9" s="1">
        <v>19</v>
      </c>
    </row>
    <row r="10" spans="1:19">
      <c r="A10" s="1">
        <v>2023</v>
      </c>
      <c r="B10" s="1">
        <v>2</v>
      </c>
      <c r="C10" s="1">
        <v>119</v>
      </c>
      <c r="D10" s="1">
        <v>54</v>
      </c>
      <c r="E10" s="1">
        <v>44</v>
      </c>
      <c r="F10" s="1">
        <v>20</v>
      </c>
      <c r="G10" s="1">
        <v>25</v>
      </c>
      <c r="H10" s="1">
        <v>11</v>
      </c>
      <c r="I10" s="1">
        <v>11</v>
      </c>
      <c r="J10" s="1">
        <v>37</v>
      </c>
      <c r="K10" s="1">
        <v>30</v>
      </c>
      <c r="L10" s="1">
        <v>16</v>
      </c>
      <c r="M10" s="1">
        <v>10</v>
      </c>
      <c r="N10" s="1">
        <v>7</v>
      </c>
      <c r="O10" s="1">
        <v>7</v>
      </c>
      <c r="P10" s="1">
        <v>2</v>
      </c>
      <c r="Q10" s="1">
        <v>3</v>
      </c>
      <c r="R10" s="1">
        <v>0</v>
      </c>
      <c r="S10" s="1">
        <v>398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Oo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+ktiijAEAAKYCAAATAAAARm9ybXVsYXMvU2VjdGlvbjEubY1RTUsDMRC9F/wPYb20EBaLIqjsQXYVvUi1Wy+tlLg7toFsUpJJtRRvggcRe/AgCiL+A8GL+nus+C9Mbf1Y6sFcJjMv896bjIEEuZKkOo7llULBtJmGlMx6a2EUNo3VXeBCMJlAM2XImhXQaI3hhhTnSx4JiACcKRB3hs8Dl4am60cqsRlILK5zAX6oJLrEFL1wuVEzoE0jBSEakTqUQrHUNP4j5Sem65VoPQLBM46gA496lIRK2EyaoDxHyZpMVMplK1iaX6Rk2yqEKvYEBD9Xf0tJ2CvRieOLwev56dv1yfDu9P3+yrmP2b5zXNEqc80bwFLntugGo6Q+Ka4KUU2YYNoEqO0vrpvH4eWT43p7eHm9PfvmijWT5kDpbOw07nXAMeaFab/vOTGB7Vh1eOLGQveMIBzhMSV9r6I6VrDRpqagiBvUfN/+CdYkx6mOmGfgipsSFxf8kZ1PiR1oOfpQpSMsrz6GtthnWx4KGUJL6d6mTOFomvQLnqLcZcLmhY5LMwUuJ2vJf+XKB1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2AIAAFtDb250ZW50X1R5cGVzXS54bWxQSwECFAAKAAAAAACHTuJAAAAAAAAAAAAAAAAABwAAAAAAAAAAABAAAAAAAAAAQ29uZmlnL1BLAQIUABQAAAAIAIdO4kASOP6YnwAAAPMAAAASAAAAAAAAAAEAIAAAACUAAABDb25maWcvUGFja2FnZS54bWxQSwECFAAKAAAAAACHTuJAAAAAAAAAAAAAAAAACQAAAAAAAAAAABAAAAD0AAAARm9ybXVsYXMvUEsBAhQAFAAAAAgAh07iQP6S2KKMAQAApgIAABMAAAAAAAAAAQAgAAAAGwEAAEZvcm11bGFzL1NlY3Rpb24xLm1QSwUGAAAAAAUABQAuAQAApg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vwEAAAAAAAA2gQ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XVlcnlHcm91cHMiIFZhbHVlPSJzQUFBQUFBPT0iIC8+PEVudHJ5IFR5cGU9IlJlbGF0aW9uc2hpcHMiIFZhbHVlPSJzQUFBQUFBPT0iIC8+PC9TdGFibGVFbnRyaWVzPjwvSXRlbT48SXRlbT48SXRlbUxvY2F0aW9uPjxJdGVtVHlwZT5Gb3JtdWxhPC9JdGVtVHlwZT48SXRlbVBhdGg+U2VjdGlvbjEvRUNEQ19zdXJ2ZWlsbGFuY2VfZGF0YV9QZXJ0dXNzaXMlMjAlMjgzJTI5PC9JdGVtUGF0aD48L0l0ZW1Mb2NhdGlvbj48U3RhYmxlRW50cmllcz48RW50cnkgVHlwZT0iSXNQcml2YXRlIiBWYWx1ZT0ibDAiIC8+PEVudHJ5IFR5cGU9IkZpbGxFbmFibGVkIiBWYWx1ZT0ibDAiIC8+PEVudHJ5IFR5cGU9IkZpbGxPYmplY3RUeXBlIiBWYWx1ZT0ic0Nvbm5lY3Rpb25Pbmx5IiAvPjxFbnRyeSBUeXBlPSJRdWVyeUlEIiBWYWx1ZT0ic2ZjZmFkODlkLTgzZGYtNDJkMS1iMDczLTQ0NjEyM2Y5MmQ2MiIgLz48RW50cnkgVHlwZT0iUmVzdWx0VHlwZSIgVmFsdWU9InNUYWJsZSIgLz48RW50cnkgVHlwZT0iRmlsbENvdW50IiBWYWx1ZT0ibDAiIC8+PEVudHJ5IFR5cGU9IkZpbGxFcnJvckNvdW50IiBWYWx1ZT0ibDAiIC8+PEVudHJ5IFR5cGU9IkZpbGxMYXN0VXBkYXRlZCIgVmFsdWU9ImQyMDI0LTA1LTMxVDA5OjM0OjI0LjEyNzAwMDBaIiAvPjxFbnRyeSBUeXBlPSJGaWxsQ29sdW1uTmFtZXMiIFZhbHVlPSdzWyZxdW90O0hlYWx0aFRvcGljJnF1b3Q7LCZxdW90O1BvcHVsYXRpb24mcXVvdDssJnF1b3Q7RGlzdHJpYnV0aW9uJnF1b3Q7LCZxdW90O1VuaXQmcXVvdDssJnF1b3Q7VGltZSZxdW90OywmcXVvdDtSZWdpb25Db2RlJnF1b3Q7LCZxdW90O1JlZ2lvbk5hbWUmcXVvdDssJnF1b3Q7Q2F0ZWdvcnlJbmRleCZxdW90OywmcXVvdDtDYXRlZ29yeSZxdW90OywmcXVvdDtWYWx1ZSZxdW90O10nIC8+PC9TdGFibGVFbnRyaWVzPjwvSXRlbT48L0l0ZW1zPjwvTG9jYWxQYWNrYWdlTWV0YWRhdGFGaWxlPhYAAABQSwUGAAAAAAAAAAAAAAAAAAAAAAAAJgEAAAEAAADQjJ3fARXREYx6AMBPwpfrAQAAACqynpGwln1Ep+iQV6TTjwUAAAAAAgAAAAAAEGYAAAABAAAgAAAAgyA6U2fpR9jy7I9XvA4XdoKI8cqmKCi9sal4py3vVJcAAAAADoAAAAACAAAgAAAAho4sK0zUCusX37Kqgrt0YSGusTBmKN9wsgyw6EcEASRQAAAAe8+Do2QJnp62+4bbtPSkYCsehYkjKhMYhvkFQX5ns10fZuyr7jMfmBb9JptBP/DWOVMKRY6kriNXSzh4wi7VIAS9XJIZKeHuGFk8Kzi9aRlAAAAAPT/M94CdANilwu+/loHXERjIWiTJEZUeGEP7jcy0rjRobEbrTCSjjN3spLjMLajwy+qJkt+ODmRJ/mS+xEfftw==</DataMashup>
</file>

<file path=customXml/itemProps1.xml><?xml version="1.0" encoding="utf-8"?>
<ds:datastoreItem xmlns:ds="http://schemas.openxmlformats.org/officeDocument/2006/customXml" ds:itemID="{C1AD6F55-A6C2-42ED-8118-721049A72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AU</vt:lpstr>
      <vt:lpstr>CN</vt:lpstr>
      <vt:lpstr>GB</vt:lpstr>
      <vt:lpstr>US</vt:lpstr>
      <vt:lpstr>JP</vt:lpstr>
      <vt:lpstr>NZ</vt:lpstr>
      <vt:lpstr>SE</vt:lpstr>
      <vt:lpstr>SG</vt:lpstr>
      <vt:lpstr>BR</vt:lpstr>
      <vt:lpstr>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为梦想努力</cp:lastModifiedBy>
  <dcterms:created xsi:type="dcterms:W3CDTF">2026-05-22T04:45:00Z</dcterms:created>
  <dcterms:modified xsi:type="dcterms:W3CDTF">2026-06-02T07:46:37Z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2024-05-27T09:00:07Z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c676a764-d58e-4fa6-b91b-555cfcebfe78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2EA3D2EBF44D48C1924A0B26C8322EFA_13</vt:lpwstr>
  </property>
  <property fmtid="{D5CDD505-2E9C-101B-9397-08002B2CF9AE}" pid="10" name="KSOProductBuildVer">
    <vt:lpwstr>2052-12.1.0.26895</vt:lpwstr>
  </property>
  <property fmtid="{D5CDD505-2E9C-101B-9397-08002B2CF9AE}" pid="11" name="CalculationRule">
    <vt:i4>0</vt:i4>
  </property>
</Properties>
</file>